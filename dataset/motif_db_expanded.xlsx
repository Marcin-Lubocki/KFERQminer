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if_db_expanded" sheetId="1" r:id="rId4"/>
    <sheet state="visible" name="Summary" sheetId="2" r:id="rId5"/>
  </sheets>
  <definedNames>
    <definedName hidden="1" localSheetId="0" name="_xlnm._FilterDatabase">motif_db_expanded!$A$1:$N$72</definedName>
  </definedNames>
  <calcPr/>
</workbook>
</file>

<file path=xl/sharedStrings.xml><?xml version="1.0" encoding="utf-8"?>
<sst xmlns="http://schemas.openxmlformats.org/spreadsheetml/2006/main" count="975" uniqueCount="371">
  <si>
    <t>Motif</t>
  </si>
  <si>
    <t>Motif reoriented</t>
  </si>
  <si>
    <t>Protein</t>
  </si>
  <si>
    <t>UniProt ID</t>
  </si>
  <si>
    <t>Type</t>
  </si>
  <si>
    <t>First author</t>
  </si>
  <si>
    <t>Year</t>
  </si>
  <si>
    <t>DOI</t>
  </si>
  <si>
    <t>Site-directed mutagenesis</t>
  </si>
  <si>
    <t>Interaction with LAMP2A</t>
  </si>
  <si>
    <t>Interaction with Hsp70</t>
  </si>
  <si>
    <t>Association with lysosomes</t>
  </si>
  <si>
    <t>Biological process</t>
  </si>
  <si>
    <t>Dataset</t>
  </si>
  <si>
    <t>KFERQ</t>
  </si>
  <si>
    <t>QREFK</t>
  </si>
  <si>
    <t>RNaseA</t>
  </si>
  <si>
    <t>P61823</t>
  </si>
  <si>
    <t>Canonical</t>
  </si>
  <si>
    <t>Terlecky S</t>
  </si>
  <si>
    <t>10.1016/S0021-9258(19)50408-2</t>
  </si>
  <si>
    <t>Yes</t>
  </si>
  <si>
    <t>Not investigated</t>
  </si>
  <si>
    <t>Affinity chromatography;Cell-free competition binding</t>
  </si>
  <si>
    <t>Uptake &amp; degradation of isolated lysosomes</t>
  </si>
  <si>
    <t>CMA</t>
  </si>
  <si>
    <t>Positive</t>
  </si>
  <si>
    <t>RKKIQ</t>
  </si>
  <si>
    <t>QIKKR</t>
  </si>
  <si>
    <t>MEF2D</t>
  </si>
  <si>
    <t>Q63943</t>
  </si>
  <si>
    <t>Atypical</t>
  </si>
  <si>
    <t>Yang Q</t>
  </si>
  <si>
    <t>10.1126/science.1166088</t>
  </si>
  <si>
    <t>No</t>
  </si>
  <si>
    <t>Co-IP</t>
  </si>
  <si>
    <t>Binding &amp; uptake in isolated lysosomes</t>
  </si>
  <si>
    <t>Putative positive-atypical</t>
  </si>
  <si>
    <t>DERNR</t>
  </si>
  <si>
    <t>QKDLV</t>
  </si>
  <si>
    <t>MDM2</t>
  </si>
  <si>
    <t>Q00987</t>
  </si>
  <si>
    <t>Te-Ling Lu </t>
  </si>
  <si>
    <t>10.1016/j.bbrc.2010.06.004</t>
  </si>
  <si>
    <t>Putative positive</t>
  </si>
  <si>
    <t>KDLVQ</t>
  </si>
  <si>
    <t>QVLDK</t>
  </si>
  <si>
    <t>QVDVR</t>
  </si>
  <si>
    <t>Eps8</t>
  </si>
  <si>
    <t>Q12929</t>
  </si>
  <si>
    <t>Welsch T</t>
  </si>
  <si>
    <t>10.1016/j.yexcr.2010.02.020</t>
  </si>
  <si>
    <t>Co-localization with LAMP1</t>
  </si>
  <si>
    <t>QEIKR</t>
  </si>
  <si>
    <t>QLFEE</t>
  </si>
  <si>
    <t>PKM2</t>
  </si>
  <si>
    <t>P14618</t>
  </si>
  <si>
    <t>Lv</t>
  </si>
  <si>
    <t>10.1016/j.molcel.2011.04.025</t>
  </si>
  <si>
    <t>Accumulation in isolated lysosomes</t>
  </si>
  <si>
    <t>Positive-atypical</t>
  </si>
  <si>
    <t>KDRVN</t>
  </si>
  <si>
    <t>NVRDK</t>
  </si>
  <si>
    <t>Huntingtin</t>
  </si>
  <si>
    <t>P42858</t>
  </si>
  <si>
    <t>Qi L</t>
  </si>
  <si>
    <t>10.1371/journal.pone.0046834</t>
  </si>
  <si>
    <t>NLRVE</t>
  </si>
  <si>
    <t>p53</t>
  </si>
  <si>
    <t>P04637</t>
  </si>
  <si>
    <t>Vakifahmetoglu-Norberg H</t>
  </si>
  <si>
    <t>10.1101/gad.220897.113</t>
  </si>
  <si>
    <t>FRELN</t>
  </si>
  <si>
    <t>NLERF</t>
  </si>
  <si>
    <t>QIRDK</t>
  </si>
  <si>
    <t>LRRK2</t>
  </si>
  <si>
    <t>Q5S007</t>
  </si>
  <si>
    <t>Orenstein</t>
  </si>
  <si>
    <t>10.1038/nn.3350</t>
  </si>
  <si>
    <t>Co-localization;Co-IP</t>
  </si>
  <si>
    <t>QFPFKE</t>
  </si>
  <si>
    <t>Vav1</t>
  </si>
  <si>
    <t>P15498</t>
  </si>
  <si>
    <t>Razidlo</t>
  </si>
  <si>
    <t>10.1016/j.devcel.2013.02.010.</t>
  </si>
  <si>
    <t>NEFKL</t>
  </si>
  <si>
    <t>HIF1A</t>
  </si>
  <si>
    <t>Q16665</t>
  </si>
  <si>
    <t>Ferreira JV</t>
  </si>
  <si>
    <t>10.4161/auto.25190</t>
  </si>
  <si>
    <t>QVKKD</t>
  </si>
  <si>
    <t>TARDBP</t>
  </si>
  <si>
    <t>Q13148</t>
  </si>
  <si>
    <t>Huang C</t>
  </si>
  <si>
    <t>10.1242/jcs.136150</t>
  </si>
  <si>
    <t>SFELD</t>
  </si>
  <si>
    <t>AF1Q</t>
  </si>
  <si>
    <t>Q13015</t>
  </si>
  <si>
    <t>Li P</t>
  </si>
  <si>
    <t>10.1016/j.yexcr.2014.05.013</t>
  </si>
  <si>
    <t>DIIRQ</t>
  </si>
  <si>
    <t>QRIID</t>
  </si>
  <si>
    <t>PED</t>
  </si>
  <si>
    <t>Q15121</t>
  </si>
  <si>
    <t>Quintavalle C</t>
  </si>
  <si>
    <t>10.1002/jcp.24569</t>
  </si>
  <si>
    <t>KLYEQ</t>
  </si>
  <si>
    <t>QEYLK</t>
  </si>
  <si>
    <t>RKIP</t>
  </si>
  <si>
    <t>P30086</t>
  </si>
  <si>
    <t>Wen Z</t>
  </si>
  <si>
    <t>10.1016/j.neurobiolaging.2014.05.034</t>
  </si>
  <si>
    <t>LDRLQ</t>
  </si>
  <si>
    <t>QLRDL</t>
  </si>
  <si>
    <t>PLIN3</t>
  </si>
  <si>
    <t>Q9DBG5</t>
  </si>
  <si>
    <t>Kaushik S and Cuervo AM</t>
  </si>
  <si>
    <t>10.1038/ncb3166</t>
  </si>
  <si>
    <t>QRFEK</t>
  </si>
  <si>
    <t>HK2</t>
  </si>
  <si>
    <t>P52789</t>
  </si>
  <si>
    <t>Xia</t>
  </si>
  <si>
    <t>10.1083/jcb.201503044.</t>
  </si>
  <si>
    <t>DKLVQ</t>
  </si>
  <si>
    <t>QVLKD</t>
  </si>
  <si>
    <t>CHK1</t>
  </si>
  <si>
    <t>O14757</t>
  </si>
  <si>
    <t>Park</t>
  </si>
  <si>
    <t>10.1038/ncomms7823</t>
  </si>
  <si>
    <t>QLESV</t>
  </si>
  <si>
    <t>IL-1B</t>
  </si>
  <si>
    <t>P01584</t>
  </si>
  <si>
    <t>Zhang M</t>
  </si>
  <si>
    <t>10.7554/eLife.11205</t>
  </si>
  <si>
    <t>Other (autophagy-mediated secretion)</t>
  </si>
  <si>
    <t>Excluded</t>
  </si>
  <si>
    <t>QKVEV</t>
  </si>
  <si>
    <t>IFNAR1</t>
  </si>
  <si>
    <t>P17181</t>
  </si>
  <si>
    <t>Kurt R</t>
  </si>
  <si>
    <t>10.1371/journal.pone.0125962</t>
  </si>
  <si>
    <t>Co-IP;Colocalization</t>
  </si>
  <si>
    <t>Colocalization with LAMP2a</t>
  </si>
  <si>
    <t>QRIEL</t>
  </si>
  <si>
    <t>RND3</t>
  </si>
  <si>
    <t>P61588</t>
  </si>
  <si>
    <t>Zhou</t>
  </si>
  <si>
    <t>10.1080/15548627.2015.1136770</t>
  </si>
  <si>
    <t>QEVLR</t>
  </si>
  <si>
    <t>STING</t>
  </si>
  <si>
    <t>Q86WV6</t>
  </si>
  <si>
    <t>Hu MM</t>
  </si>
  <si>
    <t>10.1016/j.immuni.2016.08.014</t>
  </si>
  <si>
    <t>Co-localization with lysosomes</t>
  </si>
  <si>
    <t>KFFEQ</t>
  </si>
  <si>
    <t>QEFFK</t>
  </si>
  <si>
    <t>APP</t>
  </si>
  <si>
    <t>P05067</t>
  </si>
  <si>
    <t>Park JS</t>
  </si>
  <si>
    <t>10.5483/bmbrep.2016.49.6.212</t>
  </si>
  <si>
    <t>ILKEQ</t>
  </si>
  <si>
    <t>QEKLI</t>
  </si>
  <si>
    <t>PARK7</t>
  </si>
  <si>
    <t>Q99497</t>
  </si>
  <si>
    <t>Wang B</t>
  </si>
  <si>
    <t>10.1080/15548627.2016.1179401</t>
  </si>
  <si>
    <t>Co-localization with LAMP1;Binding &amp; uptake in isolated lysosomes</t>
  </si>
  <si>
    <t>QCVKK</t>
  </si>
  <si>
    <t>p65</t>
  </si>
  <si>
    <t>Q04206</t>
  </si>
  <si>
    <t>Tang J</t>
  </si>
  <si>
    <t>10.1038/oncsis.2017.85</t>
  </si>
  <si>
    <t>Accumulation in isolated lysosomes;Co-localization with lysosomes</t>
  </si>
  <si>
    <t>RLCFQ</t>
  </si>
  <si>
    <t>QFCLR</t>
  </si>
  <si>
    <t>QKEDI</t>
  </si>
  <si>
    <t>DVHRQ</t>
  </si>
  <si>
    <t>QRHVD</t>
  </si>
  <si>
    <t>QREVV</t>
  </si>
  <si>
    <t>HNFA</t>
  </si>
  <si>
    <t>P20823</t>
  </si>
  <si>
    <t>Matsui C</t>
  </si>
  <si>
    <t>10.1128/JVI.00639-18</t>
  </si>
  <si>
    <t>NVKFD</t>
  </si>
  <si>
    <t>GPX4</t>
  </si>
  <si>
    <t>O70325</t>
  </si>
  <si>
    <t>Wu Z</t>
  </si>
  <si>
    <t>10.1073/pnas.1819728116</t>
  </si>
  <si>
    <t>QVIEK</t>
  </si>
  <si>
    <t>QIRDL</t>
  </si>
  <si>
    <t>DBY</t>
  </si>
  <si>
    <t>O15523</t>
  </si>
  <si>
    <t>Kretschmann S</t>
  </si>
  <si>
    <t>10.1172/JCI123105</t>
  </si>
  <si>
    <t>Exosomes</t>
  </si>
  <si>
    <t>QRWVD</t>
  </si>
  <si>
    <t>MARCHF5</t>
  </si>
  <si>
    <t>Q9NX47</t>
  </si>
  <si>
    <t>Nie T</t>
  </si>
  <si>
    <t>10.1080/15548627.2020.1848128</t>
  </si>
  <si>
    <t>RLEVQ</t>
  </si>
  <si>
    <t>QVELR</t>
  </si>
  <si>
    <t>Arouser</t>
  </si>
  <si>
    <t>Q9U3Z9</t>
  </si>
  <si>
    <t>Jacomin AC</t>
  </si>
  <si>
    <t>10.26508/lsa.202000965</t>
  </si>
  <si>
    <t>eMi</t>
  </si>
  <si>
    <t>LSREKQ</t>
  </si>
  <si>
    <t>QKERSL</t>
  </si>
  <si>
    <t>KPNA2</t>
  </si>
  <si>
    <t>P52292</t>
  </si>
  <si>
    <t>He J</t>
  </si>
  <si>
    <t>10.1080/15548627.2020.1823122</t>
  </si>
  <si>
    <t>KFDKQ</t>
  </si>
  <si>
    <t>QKDFK</t>
  </si>
  <si>
    <t>TBK1</t>
  </si>
  <si>
    <t>Q9UHD2</t>
  </si>
  <si>
    <t>Zhao X</t>
  </si>
  <si>
    <t>10.1080/15548627.2021.1963155</t>
  </si>
  <si>
    <t>NEKFF</t>
  </si>
  <si>
    <t>AHR</t>
  </si>
  <si>
    <t>P35869</t>
  </si>
  <si>
    <t>Chen J</t>
  </si>
  <si>
    <t>10.3390/ijms22041654</t>
  </si>
  <si>
    <t>QIEKR</t>
  </si>
  <si>
    <t>BMAL1</t>
  </si>
  <si>
    <t>O00327</t>
  </si>
  <si>
    <t>Juste R Y and Cuervo AM</t>
  </si>
  <si>
    <t>10.1038/s41556-021-00800-z</t>
  </si>
  <si>
    <t>KVKEQ</t>
  </si>
  <si>
    <t>QEKVK</t>
  </si>
  <si>
    <t>VKAEN</t>
  </si>
  <si>
    <t>NEAKV</t>
  </si>
  <si>
    <t>GAPDH</t>
  </si>
  <si>
    <t>P04406</t>
  </si>
  <si>
    <t>Terasawa K</t>
  </si>
  <si>
    <t>10.1080/15548627.2021.1911017</t>
  </si>
  <si>
    <t>LAMP2a-dependent puncta formation</t>
  </si>
  <si>
    <t>DGRLQ</t>
  </si>
  <si>
    <t>QLRGD</t>
  </si>
  <si>
    <t>SMAD3</t>
  </si>
  <si>
    <t>Q8BUN5</t>
  </si>
  <si>
    <t>Liu H</t>
  </si>
  <si>
    <t>10.1007/s12264-022-00818-9</t>
  </si>
  <si>
    <t>QRVET</t>
  </si>
  <si>
    <t>QVEKR</t>
  </si>
  <si>
    <t>DGAT1</t>
  </si>
  <si>
    <t>O75907</t>
  </si>
  <si>
    <t>Yuliandari P</t>
  </si>
  <si>
    <t>10.1080/27694127.2022.2095591</t>
  </si>
  <si>
    <t>Colocalization with LysoTracker</t>
  </si>
  <si>
    <t>QCERI</t>
  </si>
  <si>
    <t>ACSL4</t>
  </si>
  <si>
    <t>O60488</t>
  </si>
  <si>
    <t>Liu C</t>
  </si>
  <si>
    <t>10.1016/j.redox.2022.102292</t>
  </si>
  <si>
    <t>Colocalization with LAMP2</t>
  </si>
  <si>
    <t>QIIDR</t>
  </si>
  <si>
    <t>LVKLQ</t>
  </si>
  <si>
    <t>QLKVL</t>
  </si>
  <si>
    <t>QELLR</t>
  </si>
  <si>
    <t>YAP1</t>
  </si>
  <si>
    <t>P46937</t>
  </si>
  <si>
    <t>Desideri E</t>
  </si>
  <si>
    <t>10.1080/15548627.2022.2063004</t>
  </si>
  <si>
    <t>ELLRQ</t>
  </si>
  <si>
    <t>QRLLE</t>
  </si>
  <si>
    <t>QVERF</t>
  </si>
  <si>
    <t>IL6ST</t>
  </si>
  <si>
    <t>P40189</t>
  </si>
  <si>
    <t>QDRFV</t>
  </si>
  <si>
    <t>p300</t>
  </si>
  <si>
    <t>Q09472</t>
  </si>
  <si>
    <t>Wu J</t>
  </si>
  <si>
    <t>10.1126/sciadv.adi8343</t>
  </si>
  <si>
    <t>Co-localization</t>
  </si>
  <si>
    <t>KIIEQ</t>
  </si>
  <si>
    <t>QEIIK</t>
  </si>
  <si>
    <t>DNA excision repair protein ERCC-6</t>
  </si>
  <si>
    <t>Q03468</t>
  </si>
  <si>
    <t>Huang Y</t>
  </si>
  <si>
    <t>10.1038/s41421-023-00601-8</t>
  </si>
  <si>
    <t>Co-IP;PLA</t>
  </si>
  <si>
    <t>EIRKQ</t>
  </si>
  <si>
    <t>QKRIE</t>
  </si>
  <si>
    <t>NCoR1</t>
  </si>
  <si>
    <t>O75376</t>
  </si>
  <si>
    <t>Choi Y</t>
  </si>
  <si>
    <t>10.1016/j.molmet.2023.101784</t>
  </si>
  <si>
    <t>In silico</t>
  </si>
  <si>
    <t>Colocalization</t>
  </si>
  <si>
    <t>Lysosomal uptake</t>
  </si>
  <si>
    <t>DKFIQ</t>
  </si>
  <si>
    <t>QIFKD</t>
  </si>
  <si>
    <t>QIKRE</t>
  </si>
  <si>
    <t>QEIFR</t>
  </si>
  <si>
    <t>QDIKK</t>
  </si>
  <si>
    <t>FTH</t>
  </si>
  <si>
    <t>P02794</t>
  </si>
  <si>
    <t>Xiong Q</t>
  </si>
  <si>
    <t>10.1016/j.freeradbiomed.2023.03.012</t>
  </si>
  <si>
    <t>LEKLQ</t>
  </si>
  <si>
    <t>QLKEL</t>
  </si>
  <si>
    <t>NLRP3</t>
  </si>
  <si>
    <t>Q96P20</t>
  </si>
  <si>
    <t>Wang L</t>
  </si>
  <si>
    <t>10.1016/j.molcel.2022.12.002</t>
  </si>
  <si>
    <t>Colocalization;Co-IP</t>
  </si>
  <si>
    <t>QIRLE</t>
  </si>
  <si>
    <t>QKLVE</t>
  </si>
  <si>
    <t>EVLKQ</t>
  </si>
  <si>
    <t>NEVKL</t>
  </si>
  <si>
    <t>IKKB</t>
  </si>
  <si>
    <t>O14920</t>
  </si>
  <si>
    <t>Wang T</t>
  </si>
  <si>
    <t>10.1080/22221751.2024.2333381</t>
  </si>
  <si>
    <t>SERPINA1</t>
  </si>
  <si>
    <t>P01009</t>
  </si>
  <si>
    <t>Lin J</t>
  </si>
  <si>
    <t>10.1080/15548627.2025.2480037</t>
  </si>
  <si>
    <t>Co-IP;IF</t>
  </si>
  <si>
    <t>QELFK</t>
  </si>
  <si>
    <t>Mutant GFP</t>
  </si>
  <si>
    <t>NA</t>
  </si>
  <si>
    <t>Anisimov S</t>
  </si>
  <si>
    <t>10.1016/j.jbc.2025.110292</t>
  </si>
  <si>
    <t>QVDRL</t>
  </si>
  <si>
    <t>PEDV Spike</t>
  </si>
  <si>
    <t>Q91AV1</t>
  </si>
  <si>
    <t>Qian Q</t>
  </si>
  <si>
    <t>10.1128/jvi.00347-25</t>
  </si>
  <si>
    <t>FMDV RdRp</t>
  </si>
  <si>
    <t>P03305;PRO_0000039885</t>
  </si>
  <si>
    <t>Ren M</t>
  </si>
  <si>
    <t>10.1128/jvi.00168-25</t>
  </si>
  <si>
    <t>QIKLE</t>
  </si>
  <si>
    <t>OGA</t>
  </si>
  <si>
    <t>O60502</t>
  </si>
  <si>
    <t>Yan S</t>
  </si>
  <si>
    <t>10.1016/j.jbc.2025.110314</t>
  </si>
  <si>
    <t>KDRFQ</t>
  </si>
  <si>
    <t>QFRDK</t>
  </si>
  <si>
    <t>NKAB1</t>
  </si>
  <si>
    <t>P05026</t>
  </si>
  <si>
    <t>Zhang Y</t>
  </si>
  <si>
    <t>10.1016/j.celrep.2025.115489</t>
  </si>
  <si>
    <t>VDRLQ</t>
  </si>
  <si>
    <t>QLRDV</t>
  </si>
  <si>
    <t>PLCG1</t>
  </si>
  <si>
    <t>P19174</t>
  </si>
  <si>
    <t>Cheng Z</t>
  </si>
  <si>
    <t>10.1080/15548627.2024.2395797</t>
  </si>
  <si>
    <t>Initial filtering pipeline</t>
  </si>
  <si>
    <t>Exclusion criteria</t>
  </si>
  <si>
    <t>PASSED</t>
  </si>
  <si>
    <t>None</t>
  </si>
  <si>
    <t>CMA only</t>
  </si>
  <si>
    <t>Methodology*</t>
  </si>
  <si>
    <t>MOTIFS</t>
  </si>
  <si>
    <t>PROTEINS</t>
  </si>
  <si>
    <t>EXCLUDED</t>
  </si>
  <si>
    <t>Methodology</t>
  </si>
  <si>
    <t>* at least 1 not "Not investigated" in "Interaction with LAMP2A", "Interaction with Hsp70", "Association with lysosomes"</t>
  </si>
  <si>
    <t>Dataset grouping</t>
  </si>
  <si>
    <t>DATASET</t>
  </si>
  <si>
    <t>UNIQUE*</t>
  </si>
  <si>
    <t>UNIQUE</t>
  </si>
  <si>
    <t>Putative postive-atypical</t>
  </si>
  <si>
    <t>47**</t>
  </si>
  <si>
    <t>* number of unique motifs after reorientation if Q or N in 3' flank</t>
  </si>
  <si>
    <t>** 1 protein has both Canonical AND Atypical motif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</si>
</sst>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C0D0E"/>
      <name val="Ui-monospace"/>
    </font>
    <font>
      <b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1" numFmtId="0" xfId="0" applyFont="1"/>
    <xf borderId="0" fillId="2" fontId="2" numFmtId="0" xfId="0" applyAlignment="1" applyFill="1" applyFont="1">
      <alignment horizontal="left"/>
    </xf>
    <xf borderId="0" fillId="3" fontId="1" numFmtId="0" xfId="0" applyFill="1" applyFont="1"/>
    <xf borderId="0" fillId="4" fontId="1" numFmtId="0" xfId="0" applyFill="1" applyFont="1"/>
    <xf borderId="0" fillId="4" fontId="2" numFmtId="0" xfId="0" applyAlignment="1" applyFont="1">
      <alignment horizontal="left"/>
    </xf>
    <xf borderId="0" fillId="2" fontId="1" numFmtId="0" xfId="0" applyFont="1"/>
    <xf borderId="1" fillId="0" fontId="3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4" fillId="0" fontId="1" numFmtId="0" xfId="0" applyBorder="1" applyFont="1"/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6" fillId="0" fontId="4" numFmtId="0" xfId="0" applyBorder="1" applyFont="1"/>
    <xf borderId="7" fillId="0" fontId="1" numFmtId="0" xfId="0" applyAlignment="1" applyBorder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7" fillId="0" fontId="1" numFmtId="0" xfId="0" applyBorder="1" applyFont="1"/>
    <xf borderId="5" fillId="0" fontId="4" numFmtId="0" xfId="0" applyBorder="1" applyFont="1"/>
    <xf borderId="6" fillId="0" fontId="1" numFmtId="0" xfId="0" applyBorder="1" applyFont="1"/>
    <xf borderId="4" fillId="0" fontId="1" numFmtId="0" xfId="0" applyAlignment="1" applyBorder="1" applyFont="1">
      <alignment horizontal="right"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1992.0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>
      <c r="A3" s="1" t="s">
        <v>27</v>
      </c>
      <c r="B3" s="2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>
        <v>2009.0</v>
      </c>
      <c r="H3" s="1" t="s">
        <v>33</v>
      </c>
      <c r="I3" s="1" t="s">
        <v>34</v>
      </c>
      <c r="J3" s="1" t="s">
        <v>22</v>
      </c>
      <c r="K3" s="1" t="s">
        <v>35</v>
      </c>
      <c r="L3" s="1" t="s">
        <v>36</v>
      </c>
      <c r="M3" s="1" t="s">
        <v>25</v>
      </c>
      <c r="N3" s="1" t="s">
        <v>37</v>
      </c>
    </row>
    <row r="4">
      <c r="A4" s="1" t="s">
        <v>38</v>
      </c>
      <c r="B4" s="3" t="s">
        <v>38</v>
      </c>
      <c r="C4" s="1" t="s">
        <v>29</v>
      </c>
      <c r="D4" s="1" t="s">
        <v>30</v>
      </c>
      <c r="E4" s="1" t="s">
        <v>31</v>
      </c>
      <c r="F4" s="1" t="s">
        <v>32</v>
      </c>
      <c r="G4" s="1">
        <v>2009.0</v>
      </c>
      <c r="H4" s="1" t="s">
        <v>33</v>
      </c>
      <c r="I4" s="1" t="s">
        <v>34</v>
      </c>
      <c r="J4" s="1" t="s">
        <v>22</v>
      </c>
      <c r="K4" s="1" t="s">
        <v>35</v>
      </c>
      <c r="L4" s="1" t="s">
        <v>36</v>
      </c>
      <c r="M4" s="1" t="s">
        <v>25</v>
      </c>
      <c r="N4" s="1" t="s">
        <v>37</v>
      </c>
    </row>
    <row r="5">
      <c r="A5" s="1" t="s">
        <v>39</v>
      </c>
      <c r="B5" s="4" t="s">
        <v>39</v>
      </c>
      <c r="C5" s="1" t="s">
        <v>40</v>
      </c>
      <c r="D5" s="1" t="s">
        <v>41</v>
      </c>
      <c r="E5" s="1" t="s">
        <v>18</v>
      </c>
      <c r="F5" s="1" t="s">
        <v>42</v>
      </c>
      <c r="G5" s="1">
        <v>2010.0</v>
      </c>
      <c r="H5" s="1" t="s">
        <v>43</v>
      </c>
      <c r="I5" s="1" t="s">
        <v>34</v>
      </c>
      <c r="J5" s="1" t="s">
        <v>35</v>
      </c>
      <c r="K5" s="1" t="s">
        <v>35</v>
      </c>
      <c r="L5" s="1" t="s">
        <v>22</v>
      </c>
      <c r="M5" s="1" t="s">
        <v>25</v>
      </c>
      <c r="N5" s="1" t="s">
        <v>44</v>
      </c>
    </row>
    <row r="6">
      <c r="A6" s="1" t="s">
        <v>45</v>
      </c>
      <c r="B6" s="2" t="s">
        <v>46</v>
      </c>
      <c r="C6" s="1" t="s">
        <v>40</v>
      </c>
      <c r="D6" s="1" t="s">
        <v>41</v>
      </c>
      <c r="E6" s="1" t="s">
        <v>18</v>
      </c>
      <c r="F6" s="1" t="s">
        <v>42</v>
      </c>
      <c r="G6" s="1">
        <v>2010.0</v>
      </c>
      <c r="H6" s="1" t="s">
        <v>43</v>
      </c>
      <c r="I6" s="1" t="s">
        <v>34</v>
      </c>
      <c r="J6" s="1" t="s">
        <v>35</v>
      </c>
      <c r="K6" s="1" t="s">
        <v>35</v>
      </c>
      <c r="L6" s="1" t="s">
        <v>22</v>
      </c>
      <c r="M6" s="1" t="s">
        <v>25</v>
      </c>
      <c r="N6" s="1" t="s">
        <v>44</v>
      </c>
    </row>
    <row r="7">
      <c r="A7" s="1" t="s">
        <v>47</v>
      </c>
      <c r="B7" s="4" t="s">
        <v>47</v>
      </c>
      <c r="C7" s="1" t="s">
        <v>48</v>
      </c>
      <c r="D7" s="1" t="s">
        <v>49</v>
      </c>
      <c r="E7" s="1" t="s">
        <v>18</v>
      </c>
      <c r="F7" s="1" t="s">
        <v>50</v>
      </c>
      <c r="G7" s="1">
        <v>2010.0</v>
      </c>
      <c r="H7" s="1" t="s">
        <v>51</v>
      </c>
      <c r="I7" s="1" t="s">
        <v>34</v>
      </c>
      <c r="J7" s="1" t="s">
        <v>35</v>
      </c>
      <c r="K7" s="1" t="s">
        <v>35</v>
      </c>
      <c r="L7" s="1" t="s">
        <v>52</v>
      </c>
      <c r="M7" s="1" t="s">
        <v>25</v>
      </c>
      <c r="N7" s="1" t="s">
        <v>44</v>
      </c>
    </row>
    <row r="8">
      <c r="A8" s="1" t="s">
        <v>53</v>
      </c>
      <c r="B8" s="4" t="s">
        <v>53</v>
      </c>
      <c r="C8" s="1" t="s">
        <v>48</v>
      </c>
      <c r="D8" s="1" t="s">
        <v>49</v>
      </c>
      <c r="E8" s="1" t="s">
        <v>18</v>
      </c>
      <c r="F8" s="1" t="s">
        <v>50</v>
      </c>
      <c r="G8" s="1">
        <v>2010.0</v>
      </c>
      <c r="H8" s="1" t="s">
        <v>51</v>
      </c>
      <c r="I8" s="1" t="s">
        <v>34</v>
      </c>
      <c r="J8" s="1" t="s">
        <v>35</v>
      </c>
      <c r="K8" s="1" t="s">
        <v>35</v>
      </c>
      <c r="L8" s="1" t="s">
        <v>52</v>
      </c>
      <c r="M8" s="1" t="s">
        <v>25</v>
      </c>
      <c r="N8" s="1" t="s">
        <v>44</v>
      </c>
    </row>
    <row r="9">
      <c r="A9" s="1" t="s">
        <v>54</v>
      </c>
      <c r="B9" s="3" t="s">
        <v>54</v>
      </c>
      <c r="C9" s="1" t="s">
        <v>55</v>
      </c>
      <c r="D9" s="1" t="s">
        <v>56</v>
      </c>
      <c r="E9" s="1" t="s">
        <v>31</v>
      </c>
      <c r="F9" s="1" t="s">
        <v>57</v>
      </c>
      <c r="G9" s="1">
        <v>2011.0</v>
      </c>
      <c r="H9" s="1" t="s">
        <v>58</v>
      </c>
      <c r="I9" s="1" t="s">
        <v>21</v>
      </c>
      <c r="J9" s="1" t="s">
        <v>22</v>
      </c>
      <c r="K9" s="1" t="s">
        <v>35</v>
      </c>
      <c r="L9" s="1" t="s">
        <v>59</v>
      </c>
      <c r="M9" s="1" t="s">
        <v>25</v>
      </c>
      <c r="N9" s="1" t="s">
        <v>60</v>
      </c>
    </row>
    <row r="10">
      <c r="A10" s="1" t="s">
        <v>61</v>
      </c>
      <c r="B10" s="1" t="s">
        <v>62</v>
      </c>
      <c r="C10" s="1" t="s">
        <v>63</v>
      </c>
      <c r="D10" s="1" t="s">
        <v>64</v>
      </c>
      <c r="E10" s="1" t="s">
        <v>18</v>
      </c>
      <c r="F10" s="1" t="s">
        <v>65</v>
      </c>
      <c r="G10" s="1">
        <v>2012.0</v>
      </c>
      <c r="H10" s="1" t="s">
        <v>66</v>
      </c>
      <c r="I10" s="1" t="s">
        <v>21</v>
      </c>
      <c r="J10" s="1" t="s">
        <v>35</v>
      </c>
      <c r="K10" s="1" t="s">
        <v>35</v>
      </c>
      <c r="L10" s="1" t="s">
        <v>36</v>
      </c>
      <c r="M10" s="1" t="s">
        <v>25</v>
      </c>
      <c r="N10" s="1" t="s">
        <v>26</v>
      </c>
    </row>
    <row r="11">
      <c r="A11" s="1" t="s">
        <v>67</v>
      </c>
      <c r="B11" s="4" t="s">
        <v>67</v>
      </c>
      <c r="C11" s="1" t="s">
        <v>68</v>
      </c>
      <c r="D11" s="1" t="s">
        <v>69</v>
      </c>
      <c r="E11" s="1" t="s">
        <v>18</v>
      </c>
      <c r="F11" s="1" t="s">
        <v>70</v>
      </c>
      <c r="G11" s="1">
        <v>2013.0</v>
      </c>
      <c r="H11" s="1" t="s">
        <v>71</v>
      </c>
      <c r="I11" s="1" t="s">
        <v>34</v>
      </c>
      <c r="J11" s="1" t="s">
        <v>35</v>
      </c>
      <c r="K11" s="1" t="s">
        <v>35</v>
      </c>
      <c r="L11" s="1" t="s">
        <v>59</v>
      </c>
      <c r="M11" s="1" t="s">
        <v>25</v>
      </c>
      <c r="N11" s="1" t="s">
        <v>44</v>
      </c>
    </row>
    <row r="12">
      <c r="A12" s="1" t="s">
        <v>72</v>
      </c>
      <c r="B12" s="1" t="s">
        <v>73</v>
      </c>
      <c r="C12" s="1" t="s">
        <v>68</v>
      </c>
      <c r="D12" s="1" t="s">
        <v>69</v>
      </c>
      <c r="E12" s="1" t="s">
        <v>18</v>
      </c>
      <c r="F12" s="1" t="s">
        <v>70</v>
      </c>
      <c r="G12" s="1">
        <v>2013.0</v>
      </c>
      <c r="H12" s="1" t="s">
        <v>71</v>
      </c>
      <c r="I12" s="1" t="s">
        <v>34</v>
      </c>
      <c r="J12" s="1" t="s">
        <v>35</v>
      </c>
      <c r="K12" s="1" t="s">
        <v>35</v>
      </c>
      <c r="L12" s="1" t="s">
        <v>59</v>
      </c>
      <c r="M12" s="1" t="s">
        <v>25</v>
      </c>
      <c r="N12" s="1" t="s">
        <v>44</v>
      </c>
    </row>
    <row r="13">
      <c r="A13" s="1" t="s">
        <v>74</v>
      </c>
      <c r="B13" s="4" t="s">
        <v>74</v>
      </c>
      <c r="C13" s="1" t="s">
        <v>75</v>
      </c>
      <c r="D13" s="1" t="s">
        <v>76</v>
      </c>
      <c r="E13" s="1" t="s">
        <v>18</v>
      </c>
      <c r="F13" s="1" t="s">
        <v>77</v>
      </c>
      <c r="G13" s="1">
        <v>2013.0</v>
      </c>
      <c r="H13" s="1" t="s">
        <v>78</v>
      </c>
      <c r="I13" s="1" t="s">
        <v>21</v>
      </c>
      <c r="J13" s="1" t="s">
        <v>79</v>
      </c>
      <c r="K13" s="1" t="s">
        <v>35</v>
      </c>
      <c r="L13" s="1" t="s">
        <v>59</v>
      </c>
      <c r="M13" s="1" t="s">
        <v>25</v>
      </c>
      <c r="N13" s="1" t="s">
        <v>26</v>
      </c>
    </row>
    <row r="14">
      <c r="A14" s="1" t="s">
        <v>80</v>
      </c>
      <c r="B14" s="3" t="s">
        <v>80</v>
      </c>
      <c r="C14" s="1" t="s">
        <v>81</v>
      </c>
      <c r="D14" s="1" t="s">
        <v>82</v>
      </c>
      <c r="E14" s="1" t="s">
        <v>31</v>
      </c>
      <c r="F14" s="1" t="s">
        <v>83</v>
      </c>
      <c r="G14" s="1">
        <v>2013.0</v>
      </c>
      <c r="H14" s="1" t="s">
        <v>84</v>
      </c>
      <c r="I14" s="1" t="s">
        <v>21</v>
      </c>
      <c r="J14" s="1" t="s">
        <v>22</v>
      </c>
      <c r="K14" s="1" t="s">
        <v>35</v>
      </c>
      <c r="L14" s="1" t="s">
        <v>52</v>
      </c>
      <c r="M14" s="1" t="s">
        <v>25</v>
      </c>
      <c r="N14" s="1" t="s">
        <v>60</v>
      </c>
    </row>
    <row r="15">
      <c r="A15" s="1" t="s">
        <v>85</v>
      </c>
      <c r="B15" s="4" t="s">
        <v>85</v>
      </c>
      <c r="C15" s="1" t="s">
        <v>86</v>
      </c>
      <c r="D15" s="1" t="s">
        <v>87</v>
      </c>
      <c r="E15" s="1" t="s">
        <v>18</v>
      </c>
      <c r="F15" s="1" t="s">
        <v>88</v>
      </c>
      <c r="G15" s="1">
        <v>2013.0</v>
      </c>
      <c r="H15" s="1" t="s">
        <v>89</v>
      </c>
      <c r="I15" s="1" t="s">
        <v>21</v>
      </c>
      <c r="J15" s="1" t="s">
        <v>35</v>
      </c>
      <c r="K15" s="1" t="s">
        <v>35</v>
      </c>
      <c r="L15" s="1" t="s">
        <v>59</v>
      </c>
      <c r="M15" s="1" t="s">
        <v>25</v>
      </c>
      <c r="N15" s="1" t="s">
        <v>26</v>
      </c>
    </row>
    <row r="16">
      <c r="A16" s="1" t="s">
        <v>90</v>
      </c>
      <c r="B16" s="4" t="s">
        <v>90</v>
      </c>
      <c r="C16" s="1" t="s">
        <v>91</v>
      </c>
      <c r="D16" s="1" t="s">
        <v>92</v>
      </c>
      <c r="E16" s="1" t="s">
        <v>18</v>
      </c>
      <c r="F16" s="1" t="s">
        <v>93</v>
      </c>
      <c r="G16" s="1">
        <v>2014.0</v>
      </c>
      <c r="H16" s="1" t="s">
        <v>94</v>
      </c>
      <c r="I16" s="1" t="s">
        <v>21</v>
      </c>
      <c r="J16" s="1" t="s">
        <v>22</v>
      </c>
      <c r="K16" s="1" t="s">
        <v>35</v>
      </c>
      <c r="L16" s="1" t="s">
        <v>22</v>
      </c>
      <c r="M16" s="1" t="s">
        <v>25</v>
      </c>
      <c r="N16" s="1" t="s">
        <v>26</v>
      </c>
    </row>
    <row r="17">
      <c r="A17" s="1" t="s">
        <v>95</v>
      </c>
      <c r="B17" s="3" t="s">
        <v>95</v>
      </c>
      <c r="C17" s="1" t="s">
        <v>96</v>
      </c>
      <c r="D17" s="1" t="s">
        <v>97</v>
      </c>
      <c r="E17" s="1" t="s">
        <v>31</v>
      </c>
      <c r="F17" s="1" t="s">
        <v>98</v>
      </c>
      <c r="G17" s="1">
        <v>2014.0</v>
      </c>
      <c r="H17" s="1" t="s">
        <v>99</v>
      </c>
      <c r="I17" s="1" t="s">
        <v>34</v>
      </c>
      <c r="J17" s="1" t="s">
        <v>79</v>
      </c>
      <c r="K17" s="1" t="s">
        <v>79</v>
      </c>
      <c r="L17" s="1" t="s">
        <v>22</v>
      </c>
      <c r="M17" s="1" t="s">
        <v>25</v>
      </c>
      <c r="N17" s="1" t="s">
        <v>37</v>
      </c>
    </row>
    <row r="18">
      <c r="A18" s="1" t="s">
        <v>100</v>
      </c>
      <c r="B18" s="2" t="s">
        <v>101</v>
      </c>
      <c r="C18" s="1" t="s">
        <v>102</v>
      </c>
      <c r="D18" s="1" t="s">
        <v>103</v>
      </c>
      <c r="E18" s="1" t="s">
        <v>18</v>
      </c>
      <c r="F18" s="1" t="s">
        <v>104</v>
      </c>
      <c r="G18" s="1">
        <v>2014.0</v>
      </c>
      <c r="H18" s="1" t="s">
        <v>105</v>
      </c>
      <c r="I18" s="1" t="s">
        <v>34</v>
      </c>
      <c r="J18" s="1" t="s">
        <v>79</v>
      </c>
      <c r="K18" s="1" t="s">
        <v>79</v>
      </c>
      <c r="L18" s="1" t="s">
        <v>36</v>
      </c>
      <c r="M18" s="1" t="s">
        <v>25</v>
      </c>
      <c r="N18" s="1" t="s">
        <v>44</v>
      </c>
    </row>
    <row r="19">
      <c r="A19" s="1" t="s">
        <v>106</v>
      </c>
      <c r="B19" s="2" t="s">
        <v>107</v>
      </c>
      <c r="C19" s="1" t="s">
        <v>108</v>
      </c>
      <c r="D19" s="1" t="s">
        <v>109</v>
      </c>
      <c r="E19" s="1" t="s">
        <v>31</v>
      </c>
      <c r="F19" s="1" t="s">
        <v>110</v>
      </c>
      <c r="G19" s="1">
        <v>2014.0</v>
      </c>
      <c r="H19" s="1" t="s">
        <v>111</v>
      </c>
      <c r="I19" s="1" t="s">
        <v>21</v>
      </c>
      <c r="J19" s="1" t="s">
        <v>35</v>
      </c>
      <c r="K19" s="1" t="s">
        <v>35</v>
      </c>
      <c r="L19" s="1" t="s">
        <v>36</v>
      </c>
      <c r="M19" s="1" t="s">
        <v>25</v>
      </c>
      <c r="N19" s="1" t="s">
        <v>60</v>
      </c>
    </row>
    <row r="20">
      <c r="A20" s="1" t="s">
        <v>112</v>
      </c>
      <c r="B20" s="2" t="s">
        <v>113</v>
      </c>
      <c r="C20" s="1" t="s">
        <v>114</v>
      </c>
      <c r="D20" s="1" t="s">
        <v>115</v>
      </c>
      <c r="E20" s="1" t="s">
        <v>18</v>
      </c>
      <c r="F20" s="1" t="s">
        <v>116</v>
      </c>
      <c r="G20" s="1">
        <v>2015.0</v>
      </c>
      <c r="H20" s="1" t="s">
        <v>117</v>
      </c>
      <c r="I20" s="1" t="s">
        <v>34</v>
      </c>
      <c r="J20" s="1" t="s">
        <v>22</v>
      </c>
      <c r="K20" s="1" t="s">
        <v>79</v>
      </c>
      <c r="L20" s="1" t="s">
        <v>52</v>
      </c>
      <c r="M20" s="1" t="s">
        <v>25</v>
      </c>
      <c r="N20" s="1" t="s">
        <v>44</v>
      </c>
    </row>
    <row r="21">
      <c r="A21" s="1" t="s">
        <v>118</v>
      </c>
      <c r="B21" s="4" t="s">
        <v>118</v>
      </c>
      <c r="C21" s="1" t="s">
        <v>119</v>
      </c>
      <c r="D21" s="1" t="s">
        <v>120</v>
      </c>
      <c r="E21" s="1" t="s">
        <v>18</v>
      </c>
      <c r="F21" s="1" t="s">
        <v>121</v>
      </c>
      <c r="G21" s="1">
        <v>2015.0</v>
      </c>
      <c r="H21" s="1" t="s">
        <v>122</v>
      </c>
      <c r="I21" s="1" t="s">
        <v>21</v>
      </c>
      <c r="J21" s="1" t="s">
        <v>22</v>
      </c>
      <c r="K21" s="1" t="s">
        <v>35</v>
      </c>
      <c r="L21" s="1" t="s">
        <v>59</v>
      </c>
      <c r="M21" s="1" t="s">
        <v>25</v>
      </c>
      <c r="N21" s="1" t="s">
        <v>26</v>
      </c>
    </row>
    <row r="22">
      <c r="A22" s="1" t="s">
        <v>123</v>
      </c>
      <c r="B22" s="2" t="s">
        <v>124</v>
      </c>
      <c r="C22" s="1" t="s">
        <v>125</v>
      </c>
      <c r="D22" s="1" t="s">
        <v>126</v>
      </c>
      <c r="E22" s="1" t="s">
        <v>18</v>
      </c>
      <c r="F22" s="1" t="s">
        <v>127</v>
      </c>
      <c r="G22" s="1">
        <v>2015.0</v>
      </c>
      <c r="H22" s="1" t="s">
        <v>128</v>
      </c>
      <c r="I22" s="1" t="s">
        <v>21</v>
      </c>
      <c r="J22" s="1" t="s">
        <v>22</v>
      </c>
      <c r="K22" s="1" t="s">
        <v>35</v>
      </c>
      <c r="L22" s="1" t="s">
        <v>52</v>
      </c>
      <c r="M22" s="1" t="s">
        <v>25</v>
      </c>
      <c r="N22" s="1" t="s">
        <v>26</v>
      </c>
    </row>
    <row r="23">
      <c r="A23" s="1" t="s">
        <v>129</v>
      </c>
      <c r="B23" s="3" t="s">
        <v>129</v>
      </c>
      <c r="C23" s="1" t="s">
        <v>130</v>
      </c>
      <c r="D23" s="1" t="s">
        <v>131</v>
      </c>
      <c r="E23" s="1" t="s">
        <v>31</v>
      </c>
      <c r="F23" s="1" t="s">
        <v>132</v>
      </c>
      <c r="G23" s="1">
        <v>2015.0</v>
      </c>
      <c r="H23" s="1" t="s">
        <v>133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134</v>
      </c>
      <c r="N23" s="1" t="s">
        <v>135</v>
      </c>
    </row>
    <row r="24">
      <c r="A24" s="1" t="s">
        <v>136</v>
      </c>
      <c r="B24" s="4" t="s">
        <v>136</v>
      </c>
      <c r="C24" s="1" t="s">
        <v>137</v>
      </c>
      <c r="D24" s="1" t="s">
        <v>138</v>
      </c>
      <c r="E24" s="1" t="s">
        <v>18</v>
      </c>
      <c r="F24" s="1" t="s">
        <v>139</v>
      </c>
      <c r="G24" s="1">
        <v>2015.0</v>
      </c>
      <c r="H24" s="1" t="s">
        <v>140</v>
      </c>
      <c r="I24" s="1" t="s">
        <v>34</v>
      </c>
      <c r="J24" s="1" t="s">
        <v>141</v>
      </c>
      <c r="K24" s="1" t="s">
        <v>35</v>
      </c>
      <c r="L24" s="1" t="s">
        <v>142</v>
      </c>
      <c r="M24" s="1" t="s">
        <v>25</v>
      </c>
      <c r="N24" s="1" t="s">
        <v>44</v>
      </c>
    </row>
    <row r="25">
      <c r="A25" s="1" t="s">
        <v>143</v>
      </c>
      <c r="B25" s="4" t="s">
        <v>143</v>
      </c>
      <c r="C25" s="1" t="s">
        <v>144</v>
      </c>
      <c r="D25" s="1" t="s">
        <v>145</v>
      </c>
      <c r="E25" s="1" t="s">
        <v>18</v>
      </c>
      <c r="F25" s="1" t="s">
        <v>146</v>
      </c>
      <c r="G25" s="1">
        <v>2016.0</v>
      </c>
      <c r="H25" s="1" t="s">
        <v>147</v>
      </c>
      <c r="I25" s="1" t="s">
        <v>21</v>
      </c>
      <c r="J25" s="1" t="s">
        <v>35</v>
      </c>
      <c r="K25" s="1" t="s">
        <v>35</v>
      </c>
      <c r="L25" s="1" t="s">
        <v>59</v>
      </c>
      <c r="M25" s="1" t="s">
        <v>25</v>
      </c>
      <c r="N25" s="1" t="s">
        <v>26</v>
      </c>
    </row>
    <row r="26">
      <c r="A26" s="1" t="s">
        <v>148</v>
      </c>
      <c r="B26" s="4" t="s">
        <v>148</v>
      </c>
      <c r="C26" s="1" t="s">
        <v>149</v>
      </c>
      <c r="D26" s="1" t="s">
        <v>150</v>
      </c>
      <c r="E26" s="1" t="s">
        <v>18</v>
      </c>
      <c r="F26" s="1" t="s">
        <v>151</v>
      </c>
      <c r="G26" s="1">
        <v>2016.0</v>
      </c>
      <c r="H26" s="1" t="s">
        <v>152</v>
      </c>
      <c r="I26" s="1" t="s">
        <v>21</v>
      </c>
      <c r="J26" s="1" t="s">
        <v>22</v>
      </c>
      <c r="K26" s="1" t="s">
        <v>35</v>
      </c>
      <c r="L26" s="1" t="s">
        <v>153</v>
      </c>
      <c r="M26" s="1" t="s">
        <v>25</v>
      </c>
      <c r="N26" s="1" t="s">
        <v>26</v>
      </c>
    </row>
    <row r="27">
      <c r="A27" s="1" t="s">
        <v>154</v>
      </c>
      <c r="B27" s="2" t="s">
        <v>155</v>
      </c>
      <c r="C27" s="1" t="s">
        <v>156</v>
      </c>
      <c r="D27" s="1" t="s">
        <v>157</v>
      </c>
      <c r="E27" s="1" t="s">
        <v>18</v>
      </c>
      <c r="F27" s="1" t="s">
        <v>158</v>
      </c>
      <c r="G27" s="1">
        <v>2016.0</v>
      </c>
      <c r="H27" s="1" t="s">
        <v>159</v>
      </c>
      <c r="I27" s="1" t="s">
        <v>34</v>
      </c>
      <c r="J27" s="1" t="s">
        <v>35</v>
      </c>
      <c r="K27" s="1" t="s">
        <v>35</v>
      </c>
      <c r="L27" s="1" t="s">
        <v>153</v>
      </c>
      <c r="M27" s="1" t="s">
        <v>25</v>
      </c>
      <c r="N27" s="1" t="s">
        <v>44</v>
      </c>
    </row>
    <row r="28">
      <c r="A28" s="1" t="s">
        <v>160</v>
      </c>
      <c r="B28" s="5" t="s">
        <v>161</v>
      </c>
      <c r="C28" s="1" t="s">
        <v>162</v>
      </c>
      <c r="D28" s="1" t="s">
        <v>163</v>
      </c>
      <c r="E28" s="1" t="s">
        <v>18</v>
      </c>
      <c r="F28" s="1" t="s">
        <v>164</v>
      </c>
      <c r="G28" s="1">
        <v>2016.0</v>
      </c>
      <c r="H28" s="1" t="s">
        <v>165</v>
      </c>
      <c r="I28" s="1" t="s">
        <v>21</v>
      </c>
      <c r="J28" s="1" t="s">
        <v>22</v>
      </c>
      <c r="K28" s="1" t="s">
        <v>35</v>
      </c>
      <c r="L28" s="1" t="s">
        <v>166</v>
      </c>
      <c r="M28" s="1" t="s">
        <v>25</v>
      </c>
      <c r="N28" s="1" t="s">
        <v>26</v>
      </c>
    </row>
    <row r="29">
      <c r="A29" s="1" t="s">
        <v>167</v>
      </c>
      <c r="B29" s="3" t="s">
        <v>167</v>
      </c>
      <c r="C29" s="1" t="s">
        <v>168</v>
      </c>
      <c r="D29" s="1" t="s">
        <v>169</v>
      </c>
      <c r="E29" s="1" t="s">
        <v>31</v>
      </c>
      <c r="F29" s="1" t="s">
        <v>170</v>
      </c>
      <c r="G29" s="1">
        <v>2017.0</v>
      </c>
      <c r="H29" s="1" t="s">
        <v>171</v>
      </c>
      <c r="I29" s="1" t="s">
        <v>21</v>
      </c>
      <c r="J29" s="1" t="s">
        <v>79</v>
      </c>
      <c r="K29" s="1" t="s">
        <v>35</v>
      </c>
      <c r="L29" s="1" t="s">
        <v>172</v>
      </c>
      <c r="M29" s="1" t="s">
        <v>25</v>
      </c>
      <c r="N29" s="1" t="s">
        <v>60</v>
      </c>
    </row>
    <row r="30">
      <c r="A30" s="1" t="s">
        <v>173</v>
      </c>
      <c r="B30" s="2" t="s">
        <v>174</v>
      </c>
      <c r="C30" s="1" t="s">
        <v>168</v>
      </c>
      <c r="D30" s="1" t="s">
        <v>169</v>
      </c>
      <c r="E30" s="1" t="s">
        <v>31</v>
      </c>
      <c r="F30" s="1" t="s">
        <v>170</v>
      </c>
      <c r="G30" s="1">
        <v>2017.0</v>
      </c>
      <c r="H30" s="1" t="s">
        <v>171</v>
      </c>
      <c r="I30" s="1" t="s">
        <v>21</v>
      </c>
      <c r="J30" s="1" t="s">
        <v>79</v>
      </c>
      <c r="K30" s="1" t="s">
        <v>35</v>
      </c>
      <c r="L30" s="1" t="s">
        <v>172</v>
      </c>
      <c r="M30" s="1" t="s">
        <v>25</v>
      </c>
      <c r="N30" s="1" t="s">
        <v>60</v>
      </c>
    </row>
    <row r="31">
      <c r="A31" s="1" t="s">
        <v>175</v>
      </c>
      <c r="B31" s="3" t="s">
        <v>175</v>
      </c>
      <c r="C31" s="1" t="s">
        <v>168</v>
      </c>
      <c r="D31" s="1" t="s">
        <v>169</v>
      </c>
      <c r="E31" s="1" t="s">
        <v>31</v>
      </c>
      <c r="F31" s="1" t="s">
        <v>170</v>
      </c>
      <c r="G31" s="1">
        <v>2017.0</v>
      </c>
      <c r="H31" s="1" t="s">
        <v>171</v>
      </c>
      <c r="I31" s="1" t="s">
        <v>21</v>
      </c>
      <c r="J31" s="1" t="s">
        <v>79</v>
      </c>
      <c r="K31" s="1" t="s">
        <v>35</v>
      </c>
      <c r="L31" s="1" t="s">
        <v>172</v>
      </c>
      <c r="M31" s="1" t="s">
        <v>25</v>
      </c>
      <c r="N31" s="1" t="s">
        <v>60</v>
      </c>
    </row>
    <row r="32">
      <c r="A32" s="1" t="s">
        <v>176</v>
      </c>
      <c r="B32" s="2" t="s">
        <v>177</v>
      </c>
      <c r="C32" s="1" t="s">
        <v>168</v>
      </c>
      <c r="D32" s="1" t="s">
        <v>169</v>
      </c>
      <c r="E32" s="1" t="s">
        <v>31</v>
      </c>
      <c r="F32" s="1" t="s">
        <v>170</v>
      </c>
      <c r="G32" s="1">
        <v>2017.0</v>
      </c>
      <c r="H32" s="1" t="s">
        <v>171</v>
      </c>
      <c r="I32" s="1" t="s">
        <v>21</v>
      </c>
      <c r="J32" s="1" t="s">
        <v>79</v>
      </c>
      <c r="K32" s="1" t="s">
        <v>35</v>
      </c>
      <c r="L32" s="1" t="s">
        <v>172</v>
      </c>
      <c r="M32" s="1" t="s">
        <v>25</v>
      </c>
      <c r="N32" s="1" t="s">
        <v>60</v>
      </c>
    </row>
    <row r="33">
      <c r="A33" s="1" t="s">
        <v>178</v>
      </c>
      <c r="B33" s="4" t="s">
        <v>178</v>
      </c>
      <c r="C33" s="1" t="s">
        <v>179</v>
      </c>
      <c r="D33" s="1" t="s">
        <v>180</v>
      </c>
      <c r="E33" s="1" t="s">
        <v>18</v>
      </c>
      <c r="F33" s="1" t="s">
        <v>181</v>
      </c>
      <c r="G33" s="1">
        <v>2018.0</v>
      </c>
      <c r="H33" s="1" t="s">
        <v>182</v>
      </c>
      <c r="I33" s="1" t="s">
        <v>21</v>
      </c>
      <c r="J33" s="1" t="s">
        <v>22</v>
      </c>
      <c r="K33" s="1" t="s">
        <v>35</v>
      </c>
      <c r="L33" s="1" t="s">
        <v>153</v>
      </c>
      <c r="M33" s="1" t="s">
        <v>25</v>
      </c>
      <c r="N33" s="1" t="s">
        <v>26</v>
      </c>
    </row>
    <row r="34">
      <c r="A34" s="1" t="s">
        <v>183</v>
      </c>
      <c r="B34" s="4" t="s">
        <v>183</v>
      </c>
      <c r="C34" s="1" t="s">
        <v>184</v>
      </c>
      <c r="D34" s="1" t="s">
        <v>185</v>
      </c>
      <c r="E34" s="1" t="s">
        <v>18</v>
      </c>
      <c r="F34" s="1" t="s">
        <v>186</v>
      </c>
      <c r="G34" s="1">
        <v>2019.0</v>
      </c>
      <c r="H34" s="1" t="s">
        <v>187</v>
      </c>
      <c r="I34" s="1" t="s">
        <v>21</v>
      </c>
      <c r="J34" s="1" t="s">
        <v>35</v>
      </c>
      <c r="K34" s="1" t="s">
        <v>35</v>
      </c>
      <c r="L34" s="1" t="s">
        <v>59</v>
      </c>
      <c r="M34" s="1" t="s">
        <v>25</v>
      </c>
      <c r="N34" s="1" t="s">
        <v>26</v>
      </c>
    </row>
    <row r="35">
      <c r="A35" s="1" t="s">
        <v>188</v>
      </c>
      <c r="B35" s="4" t="s">
        <v>188</v>
      </c>
      <c r="C35" s="1" t="s">
        <v>184</v>
      </c>
      <c r="D35" s="1" t="s">
        <v>185</v>
      </c>
      <c r="E35" s="1" t="s">
        <v>18</v>
      </c>
      <c r="F35" s="1" t="s">
        <v>186</v>
      </c>
      <c r="G35" s="1">
        <v>2019.0</v>
      </c>
      <c r="H35" s="1" t="s">
        <v>187</v>
      </c>
      <c r="I35" s="1" t="s">
        <v>21</v>
      </c>
      <c r="J35" s="1" t="s">
        <v>35</v>
      </c>
      <c r="K35" s="1" t="s">
        <v>35</v>
      </c>
      <c r="L35" s="1" t="s">
        <v>59</v>
      </c>
      <c r="M35" s="1" t="s">
        <v>25</v>
      </c>
      <c r="N35" s="1" t="s">
        <v>26</v>
      </c>
    </row>
    <row r="36">
      <c r="A36" s="1" t="s">
        <v>189</v>
      </c>
      <c r="B36" s="4" t="s">
        <v>189</v>
      </c>
      <c r="C36" s="1" t="s">
        <v>190</v>
      </c>
      <c r="D36" s="1" t="s">
        <v>191</v>
      </c>
      <c r="E36" s="1" t="s">
        <v>18</v>
      </c>
      <c r="F36" s="1" t="s">
        <v>192</v>
      </c>
      <c r="G36" s="1">
        <v>2019.0</v>
      </c>
      <c r="H36" s="1" t="s">
        <v>193</v>
      </c>
      <c r="I36" s="1" t="s">
        <v>21</v>
      </c>
      <c r="J36" s="1" t="s">
        <v>22</v>
      </c>
      <c r="K36" s="1" t="s">
        <v>79</v>
      </c>
      <c r="L36" s="1" t="s">
        <v>22</v>
      </c>
      <c r="M36" s="1" t="s">
        <v>194</v>
      </c>
      <c r="N36" s="1" t="s">
        <v>135</v>
      </c>
    </row>
    <row r="37">
      <c r="A37" s="1" t="s">
        <v>195</v>
      </c>
      <c r="B37" s="3" t="s">
        <v>195</v>
      </c>
      <c r="C37" s="1" t="s">
        <v>196</v>
      </c>
      <c r="D37" s="1" t="s">
        <v>197</v>
      </c>
      <c r="E37" s="1" t="s">
        <v>31</v>
      </c>
      <c r="F37" s="1" t="s">
        <v>198</v>
      </c>
      <c r="G37" s="1">
        <v>2020.0</v>
      </c>
      <c r="H37" s="1" t="s">
        <v>199</v>
      </c>
      <c r="I37" s="1" t="s">
        <v>21</v>
      </c>
      <c r="J37" s="1" t="s">
        <v>35</v>
      </c>
      <c r="K37" s="1" t="s">
        <v>35</v>
      </c>
      <c r="L37" s="1" t="s">
        <v>36</v>
      </c>
      <c r="M37" s="1" t="s">
        <v>25</v>
      </c>
      <c r="N37" s="1" t="s">
        <v>60</v>
      </c>
    </row>
    <row r="38">
      <c r="A38" s="1" t="s">
        <v>200</v>
      </c>
      <c r="B38" s="2" t="s">
        <v>201</v>
      </c>
      <c r="C38" s="1" t="s">
        <v>202</v>
      </c>
      <c r="D38" s="1" t="s">
        <v>203</v>
      </c>
      <c r="E38" s="1" t="s">
        <v>18</v>
      </c>
      <c r="F38" s="1" t="s">
        <v>204</v>
      </c>
      <c r="G38" s="1">
        <v>2020.0</v>
      </c>
      <c r="H38" s="1" t="s">
        <v>205</v>
      </c>
      <c r="I38" s="1" t="s">
        <v>21</v>
      </c>
      <c r="J38" s="1" t="s">
        <v>22</v>
      </c>
      <c r="K38" s="1" t="s">
        <v>35</v>
      </c>
      <c r="L38" s="1" t="s">
        <v>52</v>
      </c>
      <c r="M38" s="1" t="s">
        <v>206</v>
      </c>
      <c r="N38" s="1" t="s">
        <v>135</v>
      </c>
    </row>
    <row r="39">
      <c r="A39" s="1" t="s">
        <v>207</v>
      </c>
      <c r="B39" s="2" t="s">
        <v>208</v>
      </c>
      <c r="C39" s="1" t="s">
        <v>209</v>
      </c>
      <c r="D39" s="1" t="s">
        <v>210</v>
      </c>
      <c r="E39" s="1" t="s">
        <v>31</v>
      </c>
      <c r="F39" s="1" t="s">
        <v>211</v>
      </c>
      <c r="G39" s="1">
        <v>2020.0</v>
      </c>
      <c r="H39" s="1" t="s">
        <v>212</v>
      </c>
      <c r="I39" s="1" t="s">
        <v>21</v>
      </c>
      <c r="J39" s="1" t="s">
        <v>35</v>
      </c>
      <c r="K39" s="1" t="s">
        <v>35</v>
      </c>
      <c r="L39" s="1" t="s">
        <v>22</v>
      </c>
      <c r="M39" s="1" t="s">
        <v>25</v>
      </c>
      <c r="N39" s="1" t="s">
        <v>60</v>
      </c>
    </row>
    <row r="40">
      <c r="A40" s="1" t="s">
        <v>213</v>
      </c>
      <c r="B40" s="2" t="s">
        <v>214</v>
      </c>
      <c r="C40" s="1" t="s">
        <v>215</v>
      </c>
      <c r="D40" s="1" t="s">
        <v>216</v>
      </c>
      <c r="E40" s="1" t="s">
        <v>18</v>
      </c>
      <c r="F40" s="1" t="s">
        <v>217</v>
      </c>
      <c r="G40" s="1">
        <v>2021.0</v>
      </c>
      <c r="H40" s="1" t="s">
        <v>218</v>
      </c>
      <c r="I40" s="1" t="s">
        <v>21</v>
      </c>
      <c r="J40" s="1" t="s">
        <v>22</v>
      </c>
      <c r="K40" s="1" t="s">
        <v>22</v>
      </c>
      <c r="L40" s="1" t="s">
        <v>59</v>
      </c>
      <c r="M40" s="1" t="s">
        <v>25</v>
      </c>
      <c r="N40" s="1" t="s">
        <v>26</v>
      </c>
    </row>
    <row r="41">
      <c r="A41" s="1" t="s">
        <v>219</v>
      </c>
      <c r="B41" s="4" t="s">
        <v>219</v>
      </c>
      <c r="C41" s="1" t="s">
        <v>220</v>
      </c>
      <c r="D41" s="1" t="s">
        <v>221</v>
      </c>
      <c r="E41" s="1" t="s">
        <v>18</v>
      </c>
      <c r="F41" s="1" t="s">
        <v>222</v>
      </c>
      <c r="G41" s="1">
        <v>2021.0</v>
      </c>
      <c r="H41" s="1" t="s">
        <v>223</v>
      </c>
      <c r="I41" s="1" t="s">
        <v>21</v>
      </c>
      <c r="J41" s="1" t="s">
        <v>35</v>
      </c>
      <c r="K41" s="1" t="s">
        <v>35</v>
      </c>
      <c r="L41" s="1" t="s">
        <v>22</v>
      </c>
      <c r="M41" s="1" t="s">
        <v>25</v>
      </c>
      <c r="N41" s="1" t="s">
        <v>26</v>
      </c>
    </row>
    <row r="42">
      <c r="A42" s="1" t="s">
        <v>224</v>
      </c>
      <c r="B42" s="4" t="s">
        <v>224</v>
      </c>
      <c r="C42" s="1" t="s">
        <v>225</v>
      </c>
      <c r="D42" s="1" t="s">
        <v>226</v>
      </c>
      <c r="E42" s="1" t="s">
        <v>18</v>
      </c>
      <c r="F42" s="1" t="s">
        <v>227</v>
      </c>
      <c r="G42" s="1">
        <v>2021.0</v>
      </c>
      <c r="H42" s="1" t="s">
        <v>228</v>
      </c>
      <c r="I42" s="1" t="s">
        <v>21</v>
      </c>
      <c r="J42" s="1" t="s">
        <v>79</v>
      </c>
      <c r="K42" s="1" t="s">
        <v>79</v>
      </c>
      <c r="L42" s="1" t="s">
        <v>36</v>
      </c>
      <c r="M42" s="1" t="s">
        <v>25</v>
      </c>
      <c r="N42" s="1" t="s">
        <v>26</v>
      </c>
    </row>
    <row r="43">
      <c r="A43" s="1" t="s">
        <v>229</v>
      </c>
      <c r="B43" s="2" t="s">
        <v>230</v>
      </c>
      <c r="C43" s="1" t="s">
        <v>225</v>
      </c>
      <c r="D43" s="1" t="s">
        <v>226</v>
      </c>
      <c r="E43" s="1" t="s">
        <v>18</v>
      </c>
      <c r="F43" s="1" t="s">
        <v>227</v>
      </c>
      <c r="G43" s="1">
        <v>2021.0</v>
      </c>
      <c r="H43" s="1" t="s">
        <v>228</v>
      </c>
      <c r="I43" s="1" t="s">
        <v>21</v>
      </c>
      <c r="J43" s="1" t="s">
        <v>79</v>
      </c>
      <c r="K43" s="1" t="s">
        <v>79</v>
      </c>
      <c r="L43" s="1" t="s">
        <v>36</v>
      </c>
      <c r="M43" s="1" t="s">
        <v>25</v>
      </c>
      <c r="N43" s="1" t="s">
        <v>26</v>
      </c>
    </row>
    <row r="44">
      <c r="A44" s="1" t="s">
        <v>231</v>
      </c>
      <c r="B44" s="1" t="s">
        <v>232</v>
      </c>
      <c r="C44" s="1" t="s">
        <v>233</v>
      </c>
      <c r="D44" s="1" t="s">
        <v>234</v>
      </c>
      <c r="E44" s="1" t="s">
        <v>31</v>
      </c>
      <c r="F44" s="1" t="s">
        <v>235</v>
      </c>
      <c r="G44" s="1">
        <v>2021.0</v>
      </c>
      <c r="H44" s="1" t="s">
        <v>236</v>
      </c>
      <c r="I44" s="1" t="s">
        <v>21</v>
      </c>
      <c r="J44" s="1" t="s">
        <v>22</v>
      </c>
      <c r="K44" s="1" t="s">
        <v>22</v>
      </c>
      <c r="L44" s="1" t="s">
        <v>237</v>
      </c>
      <c r="M44" s="1" t="s">
        <v>25</v>
      </c>
      <c r="N44" s="1" t="s">
        <v>60</v>
      </c>
    </row>
    <row r="45">
      <c r="A45" s="1" t="s">
        <v>238</v>
      </c>
      <c r="B45" s="2" t="s">
        <v>239</v>
      </c>
      <c r="C45" s="1" t="s">
        <v>240</v>
      </c>
      <c r="D45" s="1" t="s">
        <v>241</v>
      </c>
      <c r="E45" s="1" t="s">
        <v>31</v>
      </c>
      <c r="F45" s="1" t="s">
        <v>242</v>
      </c>
      <c r="G45" s="1">
        <v>2022.0</v>
      </c>
      <c r="H45" s="1" t="s">
        <v>243</v>
      </c>
      <c r="I45" s="1" t="s">
        <v>21</v>
      </c>
      <c r="J45" s="1" t="s">
        <v>22</v>
      </c>
      <c r="K45" s="1" t="s">
        <v>35</v>
      </c>
      <c r="L45" s="1" t="s">
        <v>59</v>
      </c>
      <c r="M45" s="1" t="s">
        <v>25</v>
      </c>
      <c r="N45" s="1" t="s">
        <v>60</v>
      </c>
    </row>
    <row r="46">
      <c r="A46" s="1" t="s">
        <v>244</v>
      </c>
      <c r="B46" s="3" t="s">
        <v>244</v>
      </c>
      <c r="C46" s="1" t="s">
        <v>240</v>
      </c>
      <c r="D46" s="1" t="s">
        <v>241</v>
      </c>
      <c r="E46" s="1" t="s">
        <v>31</v>
      </c>
      <c r="F46" s="1" t="s">
        <v>242</v>
      </c>
      <c r="G46" s="1">
        <v>2022.0</v>
      </c>
      <c r="H46" s="1" t="s">
        <v>243</v>
      </c>
      <c r="I46" s="1" t="s">
        <v>21</v>
      </c>
      <c r="J46" s="1" t="s">
        <v>22</v>
      </c>
      <c r="K46" s="1" t="s">
        <v>35</v>
      </c>
      <c r="L46" s="1" t="s">
        <v>59</v>
      </c>
      <c r="M46" s="1" t="s">
        <v>25</v>
      </c>
      <c r="N46" s="1" t="s">
        <v>60</v>
      </c>
    </row>
    <row r="47">
      <c r="A47" s="1" t="s">
        <v>245</v>
      </c>
      <c r="B47" s="4" t="s">
        <v>245</v>
      </c>
      <c r="C47" s="1" t="s">
        <v>246</v>
      </c>
      <c r="D47" s="1" t="s">
        <v>247</v>
      </c>
      <c r="E47" s="1" t="s">
        <v>18</v>
      </c>
      <c r="F47" s="1" t="s">
        <v>248</v>
      </c>
      <c r="G47" s="1">
        <v>2022.0</v>
      </c>
      <c r="H47" s="1" t="s">
        <v>249</v>
      </c>
      <c r="I47" s="1" t="s">
        <v>21</v>
      </c>
      <c r="J47" s="1" t="s">
        <v>22</v>
      </c>
      <c r="K47" s="1" t="s">
        <v>35</v>
      </c>
      <c r="L47" s="1" t="s">
        <v>250</v>
      </c>
      <c r="M47" s="1" t="s">
        <v>206</v>
      </c>
      <c r="N47" s="1" t="s">
        <v>135</v>
      </c>
    </row>
    <row r="48">
      <c r="A48" s="1" t="s">
        <v>251</v>
      </c>
      <c r="B48" s="3" t="s">
        <v>251</v>
      </c>
      <c r="C48" s="1" t="s">
        <v>252</v>
      </c>
      <c r="D48" s="1" t="s">
        <v>253</v>
      </c>
      <c r="E48" s="1" t="s">
        <v>31</v>
      </c>
      <c r="F48" s="1" t="s">
        <v>254</v>
      </c>
      <c r="G48" s="1">
        <v>2022.0</v>
      </c>
      <c r="H48" s="1" t="s">
        <v>255</v>
      </c>
      <c r="I48" s="1" t="s">
        <v>21</v>
      </c>
      <c r="J48" s="1" t="s">
        <v>22</v>
      </c>
      <c r="K48" s="1" t="s">
        <v>141</v>
      </c>
      <c r="L48" s="1" t="s">
        <v>256</v>
      </c>
      <c r="M48" s="1" t="s">
        <v>25</v>
      </c>
      <c r="N48" s="1" t="s">
        <v>60</v>
      </c>
    </row>
    <row r="49">
      <c r="A49" s="1" t="s">
        <v>257</v>
      </c>
      <c r="B49" s="4" t="s">
        <v>257</v>
      </c>
      <c r="C49" s="1" t="s">
        <v>252</v>
      </c>
      <c r="D49" s="1" t="s">
        <v>253</v>
      </c>
      <c r="E49" s="1" t="s">
        <v>18</v>
      </c>
      <c r="F49" s="1" t="s">
        <v>254</v>
      </c>
      <c r="G49" s="1">
        <v>2022.0</v>
      </c>
      <c r="H49" s="1" t="s">
        <v>255</v>
      </c>
      <c r="I49" s="1" t="s">
        <v>21</v>
      </c>
      <c r="J49" s="1" t="s">
        <v>22</v>
      </c>
      <c r="K49" s="1" t="s">
        <v>141</v>
      </c>
      <c r="L49" s="1" t="s">
        <v>256</v>
      </c>
      <c r="M49" s="1" t="s">
        <v>25</v>
      </c>
      <c r="N49" s="1" t="s">
        <v>26</v>
      </c>
    </row>
    <row r="50">
      <c r="A50" s="1" t="s">
        <v>258</v>
      </c>
      <c r="B50" s="2" t="s">
        <v>259</v>
      </c>
      <c r="C50" s="1" t="s">
        <v>252</v>
      </c>
      <c r="D50" s="1" t="s">
        <v>253</v>
      </c>
      <c r="E50" s="1" t="s">
        <v>31</v>
      </c>
      <c r="F50" s="1" t="s">
        <v>254</v>
      </c>
      <c r="G50" s="1">
        <v>2022.0</v>
      </c>
      <c r="H50" s="1" t="s">
        <v>255</v>
      </c>
      <c r="I50" s="1" t="s">
        <v>21</v>
      </c>
      <c r="J50" s="1" t="s">
        <v>22</v>
      </c>
      <c r="K50" s="1" t="s">
        <v>141</v>
      </c>
      <c r="L50" s="1" t="s">
        <v>256</v>
      </c>
      <c r="M50" s="1" t="s">
        <v>25</v>
      </c>
      <c r="N50" s="1" t="s">
        <v>60</v>
      </c>
    </row>
    <row r="51">
      <c r="A51" s="1" t="s">
        <v>260</v>
      </c>
      <c r="B51" s="6" t="s">
        <v>260</v>
      </c>
      <c r="C51" s="1" t="s">
        <v>261</v>
      </c>
      <c r="D51" s="1" t="s">
        <v>262</v>
      </c>
      <c r="E51" s="1" t="s">
        <v>18</v>
      </c>
      <c r="F51" s="1" t="s">
        <v>263</v>
      </c>
      <c r="G51" s="1">
        <v>2023.0</v>
      </c>
      <c r="H51" s="1" t="s">
        <v>264</v>
      </c>
      <c r="I51" s="1" t="s">
        <v>21</v>
      </c>
      <c r="J51" s="1" t="s">
        <v>35</v>
      </c>
      <c r="K51" s="1" t="s">
        <v>35</v>
      </c>
      <c r="L51" s="1" t="s">
        <v>59</v>
      </c>
      <c r="M51" s="1" t="s">
        <v>25</v>
      </c>
      <c r="N51" s="1" t="s">
        <v>26</v>
      </c>
    </row>
    <row r="52">
      <c r="A52" s="1" t="s">
        <v>265</v>
      </c>
      <c r="B52" s="2" t="s">
        <v>266</v>
      </c>
      <c r="C52" s="1" t="s">
        <v>261</v>
      </c>
      <c r="D52" s="1" t="s">
        <v>262</v>
      </c>
      <c r="E52" s="1" t="s">
        <v>18</v>
      </c>
      <c r="F52" s="1" t="s">
        <v>263</v>
      </c>
      <c r="G52" s="1">
        <v>2023.0</v>
      </c>
      <c r="H52" s="1" t="s">
        <v>264</v>
      </c>
      <c r="I52" s="1" t="s">
        <v>21</v>
      </c>
      <c r="J52" s="1" t="s">
        <v>35</v>
      </c>
      <c r="K52" s="1" t="s">
        <v>35</v>
      </c>
      <c r="L52" s="1" t="s">
        <v>59</v>
      </c>
      <c r="M52" s="1" t="s">
        <v>25</v>
      </c>
      <c r="N52" s="1" t="s">
        <v>26</v>
      </c>
    </row>
    <row r="53">
      <c r="A53" s="1" t="s">
        <v>267</v>
      </c>
      <c r="B53" s="4" t="s">
        <v>267</v>
      </c>
      <c r="C53" s="1" t="s">
        <v>268</v>
      </c>
      <c r="D53" s="1" t="s">
        <v>269</v>
      </c>
      <c r="E53" s="1" t="s">
        <v>18</v>
      </c>
      <c r="F53" s="1" t="s">
        <v>263</v>
      </c>
      <c r="G53" s="1">
        <v>2023.0</v>
      </c>
      <c r="H53" s="1" t="s">
        <v>264</v>
      </c>
      <c r="I53" s="1" t="s">
        <v>21</v>
      </c>
      <c r="J53" s="1" t="s">
        <v>35</v>
      </c>
      <c r="K53" s="1" t="s">
        <v>35</v>
      </c>
      <c r="L53" s="1" t="s">
        <v>59</v>
      </c>
      <c r="M53" s="1" t="s">
        <v>25</v>
      </c>
      <c r="N53" s="1" t="s">
        <v>26</v>
      </c>
    </row>
    <row r="54">
      <c r="A54" s="1" t="s">
        <v>270</v>
      </c>
      <c r="B54" s="4" t="s">
        <v>270</v>
      </c>
      <c r="C54" s="1" t="s">
        <v>271</v>
      </c>
      <c r="D54" s="1" t="s">
        <v>272</v>
      </c>
      <c r="E54" s="1" t="s">
        <v>18</v>
      </c>
      <c r="F54" s="1" t="s">
        <v>273</v>
      </c>
      <c r="G54" s="1">
        <v>2023.0</v>
      </c>
      <c r="H54" s="1" t="s">
        <v>274</v>
      </c>
      <c r="I54" s="1" t="s">
        <v>21</v>
      </c>
      <c r="J54" s="1" t="s">
        <v>275</v>
      </c>
      <c r="K54" s="1" t="s">
        <v>79</v>
      </c>
      <c r="L54" s="1" t="s">
        <v>22</v>
      </c>
      <c r="M54" s="1" t="s">
        <v>25</v>
      </c>
      <c r="N54" s="1" t="s">
        <v>26</v>
      </c>
    </row>
    <row r="55">
      <c r="A55" s="1" t="s">
        <v>276</v>
      </c>
      <c r="B55" s="2" t="s">
        <v>277</v>
      </c>
      <c r="C55" s="1" t="s">
        <v>278</v>
      </c>
      <c r="D55" s="1" t="s">
        <v>279</v>
      </c>
      <c r="E55" s="1" t="s">
        <v>18</v>
      </c>
      <c r="F55" s="1" t="s">
        <v>280</v>
      </c>
      <c r="G55" s="1">
        <v>2023.0</v>
      </c>
      <c r="H55" s="1" t="s">
        <v>281</v>
      </c>
      <c r="I55" s="1" t="s">
        <v>21</v>
      </c>
      <c r="J55" s="1" t="s">
        <v>22</v>
      </c>
      <c r="K55" s="1" t="s">
        <v>282</v>
      </c>
      <c r="L55" s="1" t="s">
        <v>22</v>
      </c>
      <c r="M55" s="1" t="s">
        <v>25</v>
      </c>
      <c r="N55" s="1" t="s">
        <v>26</v>
      </c>
    </row>
    <row r="56">
      <c r="A56" s="1" t="s">
        <v>283</v>
      </c>
      <c r="B56" s="2" t="s">
        <v>284</v>
      </c>
      <c r="C56" s="1" t="s">
        <v>285</v>
      </c>
      <c r="D56" s="1" t="s">
        <v>286</v>
      </c>
      <c r="E56" s="1" t="s">
        <v>18</v>
      </c>
      <c r="F56" s="1" t="s">
        <v>287</v>
      </c>
      <c r="G56" s="1">
        <v>2023.0</v>
      </c>
      <c r="H56" s="1" t="s">
        <v>288</v>
      </c>
      <c r="I56" s="1" t="s">
        <v>289</v>
      </c>
      <c r="J56" s="1" t="s">
        <v>290</v>
      </c>
      <c r="K56" s="1" t="s">
        <v>35</v>
      </c>
      <c r="L56" s="1" t="s">
        <v>291</v>
      </c>
      <c r="M56" s="1" t="s">
        <v>25</v>
      </c>
      <c r="N56" s="1" t="s">
        <v>44</v>
      </c>
    </row>
    <row r="57">
      <c r="A57" s="1" t="s">
        <v>292</v>
      </c>
      <c r="B57" s="2" t="s">
        <v>293</v>
      </c>
      <c r="C57" s="1" t="s">
        <v>285</v>
      </c>
      <c r="D57" s="1" t="s">
        <v>286</v>
      </c>
      <c r="E57" s="1" t="s">
        <v>18</v>
      </c>
      <c r="F57" s="1" t="s">
        <v>287</v>
      </c>
      <c r="G57" s="1">
        <v>2023.0</v>
      </c>
      <c r="H57" s="1" t="s">
        <v>288</v>
      </c>
      <c r="I57" s="1" t="s">
        <v>289</v>
      </c>
      <c r="J57" s="1" t="s">
        <v>290</v>
      </c>
      <c r="K57" s="1" t="s">
        <v>35</v>
      </c>
      <c r="L57" s="1" t="s">
        <v>291</v>
      </c>
      <c r="M57" s="1" t="s">
        <v>25</v>
      </c>
      <c r="N57" s="1" t="s">
        <v>44</v>
      </c>
    </row>
    <row r="58">
      <c r="A58" s="1" t="s">
        <v>294</v>
      </c>
      <c r="B58" s="4" t="s">
        <v>294</v>
      </c>
      <c r="C58" s="1" t="s">
        <v>285</v>
      </c>
      <c r="D58" s="1" t="s">
        <v>286</v>
      </c>
      <c r="E58" s="1" t="s">
        <v>18</v>
      </c>
      <c r="F58" s="1" t="s">
        <v>287</v>
      </c>
      <c r="G58" s="1">
        <v>2023.0</v>
      </c>
      <c r="H58" s="1" t="s">
        <v>288</v>
      </c>
      <c r="I58" s="1" t="s">
        <v>289</v>
      </c>
      <c r="J58" s="1" t="s">
        <v>290</v>
      </c>
      <c r="K58" s="1" t="s">
        <v>35</v>
      </c>
      <c r="L58" s="1" t="s">
        <v>291</v>
      </c>
      <c r="M58" s="1" t="s">
        <v>25</v>
      </c>
      <c r="N58" s="1" t="s">
        <v>44</v>
      </c>
    </row>
    <row r="59">
      <c r="A59" s="1" t="s">
        <v>295</v>
      </c>
      <c r="B59" s="4" t="s">
        <v>295</v>
      </c>
      <c r="C59" s="1" t="s">
        <v>285</v>
      </c>
      <c r="D59" s="1" t="s">
        <v>286</v>
      </c>
      <c r="E59" s="1" t="s">
        <v>18</v>
      </c>
      <c r="F59" s="1" t="s">
        <v>287</v>
      </c>
      <c r="G59" s="1">
        <v>2023.0</v>
      </c>
      <c r="H59" s="1" t="s">
        <v>288</v>
      </c>
      <c r="I59" s="1" t="s">
        <v>289</v>
      </c>
      <c r="J59" s="1" t="s">
        <v>290</v>
      </c>
      <c r="K59" s="1" t="s">
        <v>35</v>
      </c>
      <c r="L59" s="1" t="s">
        <v>291</v>
      </c>
      <c r="M59" s="1" t="s">
        <v>25</v>
      </c>
      <c r="N59" s="1" t="s">
        <v>44</v>
      </c>
    </row>
    <row r="60">
      <c r="A60" s="1" t="s">
        <v>296</v>
      </c>
      <c r="B60" s="4" t="s">
        <v>296</v>
      </c>
      <c r="C60" s="1" t="s">
        <v>297</v>
      </c>
      <c r="D60" s="1" t="s">
        <v>298</v>
      </c>
      <c r="E60" s="1" t="s">
        <v>18</v>
      </c>
      <c r="F60" s="1" t="s">
        <v>299</v>
      </c>
      <c r="G60" s="1">
        <v>2023.0</v>
      </c>
      <c r="H60" s="1" t="s">
        <v>300</v>
      </c>
      <c r="I60" s="1" t="s">
        <v>21</v>
      </c>
      <c r="J60" s="1" t="s">
        <v>22</v>
      </c>
      <c r="K60" s="1" t="s">
        <v>35</v>
      </c>
      <c r="L60" s="1" t="s">
        <v>22</v>
      </c>
      <c r="M60" s="1" t="s">
        <v>25</v>
      </c>
      <c r="N60" s="1" t="s">
        <v>26</v>
      </c>
    </row>
    <row r="61">
      <c r="A61" s="1" t="s">
        <v>301</v>
      </c>
      <c r="B61" s="2" t="s">
        <v>302</v>
      </c>
      <c r="C61" s="1" t="s">
        <v>303</v>
      </c>
      <c r="D61" s="1" t="s">
        <v>304</v>
      </c>
      <c r="E61" s="1" t="s">
        <v>18</v>
      </c>
      <c r="F61" s="1" t="s">
        <v>305</v>
      </c>
      <c r="G61" s="1">
        <v>2023.0</v>
      </c>
      <c r="H61" s="1" t="s">
        <v>306</v>
      </c>
      <c r="I61" s="1" t="s">
        <v>21</v>
      </c>
      <c r="J61" s="1" t="s">
        <v>307</v>
      </c>
      <c r="K61" s="1" t="s">
        <v>35</v>
      </c>
      <c r="L61" s="1" t="s">
        <v>142</v>
      </c>
      <c r="M61" s="1" t="s">
        <v>25</v>
      </c>
      <c r="N61" s="1" t="s">
        <v>26</v>
      </c>
    </row>
    <row r="62">
      <c r="A62" s="1" t="s">
        <v>308</v>
      </c>
      <c r="B62" s="4" t="s">
        <v>308</v>
      </c>
      <c r="C62" s="1" t="s">
        <v>303</v>
      </c>
      <c r="D62" s="1" t="s">
        <v>304</v>
      </c>
      <c r="E62" s="1" t="s">
        <v>18</v>
      </c>
      <c r="F62" s="1" t="s">
        <v>305</v>
      </c>
      <c r="G62" s="1">
        <v>2023.0</v>
      </c>
      <c r="H62" s="1" t="s">
        <v>306</v>
      </c>
      <c r="I62" s="1" t="s">
        <v>21</v>
      </c>
      <c r="J62" s="1" t="s">
        <v>307</v>
      </c>
      <c r="K62" s="1" t="s">
        <v>35</v>
      </c>
      <c r="L62" s="1" t="s">
        <v>142</v>
      </c>
      <c r="M62" s="1" t="s">
        <v>25</v>
      </c>
      <c r="N62" s="1" t="s">
        <v>26</v>
      </c>
    </row>
    <row r="63">
      <c r="A63" s="1" t="s">
        <v>309</v>
      </c>
      <c r="B63" s="7" t="s">
        <v>309</v>
      </c>
      <c r="C63" s="1" t="s">
        <v>303</v>
      </c>
      <c r="D63" s="1" t="s">
        <v>304</v>
      </c>
      <c r="E63" s="1" t="s">
        <v>18</v>
      </c>
      <c r="F63" s="1" t="s">
        <v>305</v>
      </c>
      <c r="G63" s="1">
        <v>2023.0</v>
      </c>
      <c r="H63" s="1" t="s">
        <v>306</v>
      </c>
      <c r="I63" s="1" t="s">
        <v>21</v>
      </c>
      <c r="J63" s="1" t="s">
        <v>307</v>
      </c>
      <c r="K63" s="1" t="s">
        <v>35</v>
      </c>
      <c r="L63" s="1" t="s">
        <v>142</v>
      </c>
      <c r="M63" s="1" t="s">
        <v>25</v>
      </c>
      <c r="N63" s="1" t="s">
        <v>26</v>
      </c>
    </row>
    <row r="64">
      <c r="A64" s="1" t="s">
        <v>310</v>
      </c>
      <c r="B64" s="8" t="s">
        <v>309</v>
      </c>
      <c r="C64" s="1" t="s">
        <v>303</v>
      </c>
      <c r="D64" s="1" t="s">
        <v>304</v>
      </c>
      <c r="E64" s="1" t="s">
        <v>18</v>
      </c>
      <c r="F64" s="1" t="s">
        <v>305</v>
      </c>
      <c r="G64" s="1">
        <v>2023.0</v>
      </c>
      <c r="H64" s="1" t="s">
        <v>306</v>
      </c>
      <c r="I64" s="1" t="s">
        <v>21</v>
      </c>
      <c r="J64" s="1" t="s">
        <v>307</v>
      </c>
      <c r="K64" s="1" t="s">
        <v>35</v>
      </c>
      <c r="L64" s="1" t="s">
        <v>142</v>
      </c>
      <c r="M64" s="1" t="s">
        <v>25</v>
      </c>
      <c r="N64" s="1" t="s">
        <v>26</v>
      </c>
    </row>
    <row r="65">
      <c r="A65" s="1" t="s">
        <v>311</v>
      </c>
      <c r="B65" s="4" t="s">
        <v>311</v>
      </c>
      <c r="C65" s="1" t="s">
        <v>312</v>
      </c>
      <c r="D65" s="1" t="s">
        <v>313</v>
      </c>
      <c r="E65" s="1" t="s">
        <v>18</v>
      </c>
      <c r="F65" s="1" t="s">
        <v>314</v>
      </c>
      <c r="G65" s="1">
        <v>2024.0</v>
      </c>
      <c r="H65" s="1" t="s">
        <v>315</v>
      </c>
      <c r="I65" s="1" t="s">
        <v>34</v>
      </c>
      <c r="J65" s="1" t="s">
        <v>35</v>
      </c>
      <c r="K65" s="1" t="s">
        <v>35</v>
      </c>
      <c r="L65" s="1" t="s">
        <v>22</v>
      </c>
      <c r="M65" s="1" t="s">
        <v>25</v>
      </c>
      <c r="N65" s="1" t="s">
        <v>44</v>
      </c>
    </row>
    <row r="66">
      <c r="A66" s="1" t="s">
        <v>260</v>
      </c>
      <c r="B66" s="6" t="s">
        <v>260</v>
      </c>
      <c r="C66" s="1" t="s">
        <v>316</v>
      </c>
      <c r="D66" s="1" t="s">
        <v>317</v>
      </c>
      <c r="E66" s="1" t="s">
        <v>18</v>
      </c>
      <c r="F66" s="1" t="s">
        <v>318</v>
      </c>
      <c r="G66" s="1">
        <v>2025.0</v>
      </c>
      <c r="H66" s="1" t="s">
        <v>319</v>
      </c>
      <c r="I66" s="1" t="s">
        <v>21</v>
      </c>
      <c r="J66" s="1" t="s">
        <v>35</v>
      </c>
      <c r="K66" s="1" t="s">
        <v>320</v>
      </c>
      <c r="L66" s="1" t="s">
        <v>22</v>
      </c>
      <c r="M66" s="1" t="s">
        <v>25</v>
      </c>
      <c r="N66" s="1" t="s">
        <v>26</v>
      </c>
    </row>
    <row r="67">
      <c r="A67" s="1" t="s">
        <v>321</v>
      </c>
      <c r="B67" s="4" t="s">
        <v>321</v>
      </c>
      <c r="C67" s="1" t="s">
        <v>322</v>
      </c>
      <c r="D67" s="1" t="s">
        <v>323</v>
      </c>
      <c r="E67" s="1" t="s">
        <v>18</v>
      </c>
      <c r="F67" s="1" t="s">
        <v>324</v>
      </c>
      <c r="G67" s="1">
        <v>2025.0</v>
      </c>
      <c r="H67" s="1" t="s">
        <v>325</v>
      </c>
      <c r="I67" s="1" t="s">
        <v>21</v>
      </c>
      <c r="J67" s="1" t="s">
        <v>22</v>
      </c>
      <c r="K67" s="1" t="s">
        <v>22</v>
      </c>
      <c r="L67" s="1" t="s">
        <v>22</v>
      </c>
      <c r="M67" s="1" t="s">
        <v>25</v>
      </c>
      <c r="N67" s="1" t="s">
        <v>135</v>
      </c>
    </row>
    <row r="68">
      <c r="A68" s="1" t="s">
        <v>326</v>
      </c>
      <c r="B68" s="4" t="s">
        <v>326</v>
      </c>
      <c r="C68" s="1" t="s">
        <v>327</v>
      </c>
      <c r="D68" s="1" t="s">
        <v>328</v>
      </c>
      <c r="E68" s="1" t="s">
        <v>18</v>
      </c>
      <c r="F68" s="1" t="s">
        <v>329</v>
      </c>
      <c r="G68" s="1">
        <v>2025.0</v>
      </c>
      <c r="H68" s="1" t="s">
        <v>330</v>
      </c>
      <c r="I68" s="1" t="s">
        <v>21</v>
      </c>
      <c r="J68" s="1" t="s">
        <v>290</v>
      </c>
      <c r="K68" s="1" t="s">
        <v>141</v>
      </c>
      <c r="L68" s="1" t="s">
        <v>142</v>
      </c>
      <c r="M68" s="1" t="s">
        <v>25</v>
      </c>
      <c r="N68" s="1" t="s">
        <v>26</v>
      </c>
    </row>
    <row r="69">
      <c r="A69" s="1" t="s">
        <v>161</v>
      </c>
      <c r="B69" s="9" t="s">
        <v>161</v>
      </c>
      <c r="C69" s="1" t="s">
        <v>331</v>
      </c>
      <c r="D69" s="1" t="s">
        <v>332</v>
      </c>
      <c r="E69" s="1" t="s">
        <v>18</v>
      </c>
      <c r="F69" s="1" t="s">
        <v>333</v>
      </c>
      <c r="G69" s="1">
        <v>2025.0</v>
      </c>
      <c r="H69" s="1" t="s">
        <v>334</v>
      </c>
      <c r="I69" s="1" t="s">
        <v>21</v>
      </c>
      <c r="J69" s="1" t="s">
        <v>22</v>
      </c>
      <c r="K69" s="1" t="s">
        <v>35</v>
      </c>
      <c r="L69" s="1" t="s">
        <v>22</v>
      </c>
      <c r="M69" s="1" t="s">
        <v>25</v>
      </c>
      <c r="N69" s="1" t="s">
        <v>26</v>
      </c>
    </row>
    <row r="70">
      <c r="A70" s="1" t="s">
        <v>335</v>
      </c>
      <c r="B70" s="4" t="s">
        <v>335</v>
      </c>
      <c r="C70" s="1" t="s">
        <v>336</v>
      </c>
      <c r="D70" s="1" t="s">
        <v>337</v>
      </c>
      <c r="E70" s="1" t="s">
        <v>18</v>
      </c>
      <c r="F70" s="1" t="s">
        <v>338</v>
      </c>
      <c r="G70" s="1">
        <v>2025.0</v>
      </c>
      <c r="H70" s="1" t="s">
        <v>339</v>
      </c>
      <c r="I70" s="1" t="s">
        <v>21</v>
      </c>
      <c r="J70" s="1" t="s">
        <v>35</v>
      </c>
      <c r="K70" s="1" t="s">
        <v>35</v>
      </c>
      <c r="L70" s="1" t="s">
        <v>22</v>
      </c>
      <c r="M70" s="1" t="s">
        <v>25</v>
      </c>
      <c r="N70" s="1" t="s">
        <v>26</v>
      </c>
    </row>
    <row r="71">
      <c r="A71" s="1" t="s">
        <v>340</v>
      </c>
      <c r="B71" s="2" t="s">
        <v>341</v>
      </c>
      <c r="C71" s="1" t="s">
        <v>342</v>
      </c>
      <c r="D71" s="1" t="s">
        <v>343</v>
      </c>
      <c r="E71" s="1" t="s">
        <v>18</v>
      </c>
      <c r="F71" s="1" t="s">
        <v>344</v>
      </c>
      <c r="G71" s="1">
        <v>2025.0</v>
      </c>
      <c r="H71" s="1" t="s">
        <v>345</v>
      </c>
      <c r="I71" s="1" t="s">
        <v>21</v>
      </c>
      <c r="J71" s="1" t="s">
        <v>141</v>
      </c>
      <c r="K71" s="1" t="s">
        <v>141</v>
      </c>
      <c r="L71" s="1" t="s">
        <v>142</v>
      </c>
      <c r="M71" s="1" t="s">
        <v>25</v>
      </c>
      <c r="N71" s="1" t="s">
        <v>26</v>
      </c>
    </row>
    <row r="72">
      <c r="A72" s="1" t="s">
        <v>346</v>
      </c>
      <c r="B72" s="2" t="s">
        <v>347</v>
      </c>
      <c r="C72" s="1" t="s">
        <v>348</v>
      </c>
      <c r="D72" s="1" t="s">
        <v>349</v>
      </c>
      <c r="E72" s="1" t="s">
        <v>18</v>
      </c>
      <c r="F72" s="1" t="s">
        <v>350</v>
      </c>
      <c r="G72" s="1">
        <v>2025.0</v>
      </c>
      <c r="H72" s="1" t="s">
        <v>351</v>
      </c>
      <c r="I72" s="1" t="s">
        <v>21</v>
      </c>
      <c r="J72" s="1" t="s">
        <v>141</v>
      </c>
      <c r="K72" s="1" t="s">
        <v>290</v>
      </c>
      <c r="L72" s="1" t="s">
        <v>142</v>
      </c>
      <c r="M72" s="1" t="s">
        <v>25</v>
      </c>
      <c r="N72" s="1" t="s">
        <v>26</v>
      </c>
    </row>
  </sheetData>
  <autoFilter ref="$A$1:$N$72"/>
  <conditionalFormatting sqref="D2:D72">
    <cfRule type="expression" dxfId="0" priority="1">
      <formula>COUNTIF(D:D,D)&gt;1</formula>
    </cfRule>
  </conditionalFormatting>
  <conditionalFormatting sqref="A2:A72">
    <cfRule type="expression" dxfId="1" priority="2">
      <formula>COUNTIF(A:A,A2)&gt;1</formula>
    </cfRule>
  </conditionalFormatting>
  <conditionalFormatting sqref="S2">
    <cfRule type="expression" dxfId="0" priority="3">
      <formula>COUNTIF(S$2:S$54, K76)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352</v>
      </c>
      <c r="B1" s="11"/>
      <c r="C1" s="11"/>
      <c r="D1" s="12"/>
    </row>
    <row r="2">
      <c r="A2" s="13"/>
      <c r="B2" s="14" t="s">
        <v>353</v>
      </c>
      <c r="C2" s="11"/>
      <c r="D2" s="12"/>
    </row>
    <row r="3">
      <c r="A3" s="15" t="s">
        <v>354</v>
      </c>
      <c r="B3" s="15" t="s">
        <v>355</v>
      </c>
      <c r="C3" s="15" t="s">
        <v>356</v>
      </c>
      <c r="D3" s="15" t="s">
        <v>357</v>
      </c>
    </row>
    <row r="4">
      <c r="A4" s="15" t="s">
        <v>358</v>
      </c>
      <c r="B4" s="15">
        <v>71.0</v>
      </c>
      <c r="C4" s="15">
        <v>67.0</v>
      </c>
      <c r="D4" s="15">
        <v>66.0</v>
      </c>
    </row>
    <row r="5">
      <c r="A5" s="15" t="s">
        <v>359</v>
      </c>
      <c r="B5" s="15">
        <v>52.0</v>
      </c>
      <c r="C5" s="15">
        <v>48.0</v>
      </c>
      <c r="D5" s="15">
        <v>47.0</v>
      </c>
    </row>
    <row r="6">
      <c r="A6" s="16"/>
      <c r="D6" s="17"/>
    </row>
    <row r="7">
      <c r="A7" s="13"/>
      <c r="B7" s="14" t="s">
        <v>353</v>
      </c>
      <c r="C7" s="11"/>
      <c r="D7" s="12"/>
    </row>
    <row r="8">
      <c r="A8" s="15" t="s">
        <v>360</v>
      </c>
      <c r="B8" s="15" t="s">
        <v>355</v>
      </c>
      <c r="C8" s="15" t="s">
        <v>356</v>
      </c>
      <c r="D8" s="15" t="s">
        <v>361</v>
      </c>
    </row>
    <row r="9">
      <c r="A9" s="15" t="s">
        <v>358</v>
      </c>
      <c r="B9" s="15">
        <v>0.0</v>
      </c>
      <c r="C9" s="15">
        <v>4.0</v>
      </c>
      <c r="D9" s="15">
        <v>5.0</v>
      </c>
    </row>
    <row r="10">
      <c r="A10" s="15" t="s">
        <v>359</v>
      </c>
      <c r="B10" s="15">
        <v>0.0</v>
      </c>
      <c r="C10" s="15">
        <v>4.0</v>
      </c>
      <c r="D10" s="15">
        <v>5.0</v>
      </c>
    </row>
    <row r="11">
      <c r="A11" s="1" t="s">
        <v>362</v>
      </c>
    </row>
    <row r="14">
      <c r="A14" s="10" t="s">
        <v>363</v>
      </c>
      <c r="B14" s="11"/>
      <c r="C14" s="11"/>
      <c r="D14" s="12"/>
    </row>
    <row r="15">
      <c r="A15" s="18" t="s">
        <v>18</v>
      </c>
      <c r="B15" s="19"/>
      <c r="C15" s="14" t="s">
        <v>364</v>
      </c>
      <c r="D15" s="12"/>
    </row>
    <row r="16">
      <c r="A16" s="20"/>
      <c r="B16" s="21"/>
      <c r="C16" s="15" t="s">
        <v>26</v>
      </c>
      <c r="D16" s="15" t="s">
        <v>365</v>
      </c>
    </row>
    <row r="17">
      <c r="A17" s="15" t="s">
        <v>358</v>
      </c>
      <c r="B17" s="15">
        <v>49.0</v>
      </c>
      <c r="C17" s="15">
        <v>34.0</v>
      </c>
      <c r="D17" s="15">
        <v>31.0</v>
      </c>
    </row>
    <row r="18">
      <c r="A18" s="15" t="s">
        <v>359</v>
      </c>
      <c r="B18" s="15">
        <v>37.0</v>
      </c>
      <c r="C18" s="15">
        <v>28.0</v>
      </c>
      <c r="D18" s="13"/>
    </row>
    <row r="19">
      <c r="A19" s="22"/>
      <c r="B19" s="19"/>
      <c r="C19" s="15" t="s">
        <v>44</v>
      </c>
      <c r="D19" s="15" t="s">
        <v>366</v>
      </c>
    </row>
    <row r="20">
      <c r="A20" s="23"/>
      <c r="B20" s="17"/>
      <c r="C20" s="15">
        <v>15.0</v>
      </c>
      <c r="D20" s="15">
        <v>15.0</v>
      </c>
    </row>
    <row r="21">
      <c r="A21" s="20"/>
      <c r="B21" s="21"/>
      <c r="C21" s="15">
        <v>9.0</v>
      </c>
      <c r="D21" s="13"/>
    </row>
    <row r="22">
      <c r="A22" s="18" t="s">
        <v>31</v>
      </c>
      <c r="B22" s="19"/>
      <c r="C22" s="14" t="s">
        <v>364</v>
      </c>
      <c r="D22" s="12"/>
    </row>
    <row r="23">
      <c r="A23" s="20"/>
      <c r="B23" s="21"/>
      <c r="C23" s="15" t="s">
        <v>60</v>
      </c>
      <c r="D23" s="15" t="s">
        <v>366</v>
      </c>
    </row>
    <row r="24">
      <c r="A24" s="15" t="s">
        <v>358</v>
      </c>
      <c r="B24" s="15">
        <v>17.0</v>
      </c>
      <c r="C24" s="15">
        <v>14.0</v>
      </c>
      <c r="D24" s="15">
        <v>14.0</v>
      </c>
    </row>
    <row r="25">
      <c r="A25" s="15" t="s">
        <v>359</v>
      </c>
      <c r="B25" s="15">
        <v>11.0</v>
      </c>
      <c r="C25" s="15">
        <v>9.0</v>
      </c>
      <c r="D25" s="13"/>
    </row>
    <row r="26">
      <c r="A26" s="22"/>
      <c r="B26" s="19"/>
      <c r="C26" s="15" t="s">
        <v>367</v>
      </c>
      <c r="D26" s="15" t="s">
        <v>366</v>
      </c>
    </row>
    <row r="27">
      <c r="A27" s="23"/>
      <c r="B27" s="17"/>
      <c r="C27" s="15">
        <v>3.0</v>
      </c>
      <c r="D27" s="15">
        <v>3.0</v>
      </c>
    </row>
    <row r="28">
      <c r="A28" s="20"/>
      <c r="B28" s="21"/>
      <c r="C28" s="15">
        <v>2.0</v>
      </c>
      <c r="D28" s="13"/>
    </row>
    <row r="29">
      <c r="A29" s="16"/>
      <c r="D29" s="24"/>
    </row>
    <row r="30">
      <c r="A30" s="15" t="s">
        <v>358</v>
      </c>
      <c r="B30" s="15">
        <v>66.0</v>
      </c>
      <c r="C30" s="13">
        <f t="shared" ref="C30:D30" si="1">SUM(C17,C20,C24,C27)</f>
        <v>66</v>
      </c>
      <c r="D30" s="13">
        <f t="shared" si="1"/>
        <v>63</v>
      </c>
    </row>
    <row r="31">
      <c r="A31" s="15" t="s">
        <v>359</v>
      </c>
      <c r="B31" s="25" t="s">
        <v>368</v>
      </c>
      <c r="C31" s="15">
        <v>1.0</v>
      </c>
      <c r="D31" s="13"/>
    </row>
    <row r="32">
      <c r="A32" s="1" t="s">
        <v>369</v>
      </c>
    </row>
    <row r="33">
      <c r="A33" s="1" t="s">
        <v>370</v>
      </c>
    </row>
  </sheetData>
  <mergeCells count="11">
    <mergeCell ref="A19:B21"/>
    <mergeCell ref="A14:D14"/>
    <mergeCell ref="A15:B16"/>
    <mergeCell ref="C15:D15"/>
    <mergeCell ref="A22:B23"/>
    <mergeCell ref="C22:D22"/>
    <mergeCell ref="A26:B28"/>
    <mergeCell ref="A1:D1"/>
    <mergeCell ref="B2:D2"/>
    <mergeCell ref="A6:D6"/>
    <mergeCell ref="B7:D7"/>
  </mergeCells>
  <drawing r:id="rId1"/>
</worksheet>
</file>